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ski\Downloads\"/>
    </mc:Choice>
  </mc:AlternateContent>
  <xr:revisionPtr revIDLastSave="0" documentId="13_ncr:1_{4C58C151-4901-431B-B385-A2EC12D70F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j26 - wydatki" sheetId="32" r:id="rId1"/>
    <sheet name="Kwiecień26 - wydatki" sheetId="1" r:id="rId2"/>
    <sheet name="Marzec26 - wydatki" sheetId="2" r:id="rId3"/>
    <sheet name="Luty26 - wydatki" sheetId="3" r:id="rId4"/>
    <sheet name="Styczeń26 - wydatki" sheetId="4" r:id="rId5"/>
    <sheet name="Grudzień25- wydatki" sheetId="5" r:id="rId6"/>
    <sheet name="Listopad25- wydatki" sheetId="6" r:id="rId7"/>
    <sheet name="Październik25- wydatki" sheetId="7" r:id="rId8"/>
    <sheet name="Wrzesień25- wydatki" sheetId="8" r:id="rId9"/>
    <sheet name="Sierpień25 - wydatki" sheetId="9" r:id="rId10"/>
    <sheet name="Lipiec25 - wydatki" sheetId="10" r:id="rId11"/>
    <sheet name="Kwiecień25 - wydatki " sheetId="11" r:id="rId12"/>
    <sheet name="Czerwiec25 - wydatki" sheetId="12" r:id="rId13"/>
    <sheet name="Maj25 - wydatki" sheetId="13" r:id="rId14"/>
    <sheet name="Marzec25 - wydatki" sheetId="14" r:id="rId15"/>
    <sheet name="Luty25 - wydatki" sheetId="15" r:id="rId16"/>
    <sheet name="Styczeń25 - wydatki" sheetId="16" r:id="rId17"/>
    <sheet name="Grudzień24 - wydatki" sheetId="17" r:id="rId18"/>
    <sheet name="Szablon" sheetId="18" r:id="rId19"/>
    <sheet name="Listopad - wydatki" sheetId="19" r:id="rId20"/>
    <sheet name="Październik - wydatki" sheetId="20" r:id="rId21"/>
    <sheet name="Wrzesień - wydatki" sheetId="21" r:id="rId22"/>
    <sheet name="Sierpień - wydatki" sheetId="22" r:id="rId23"/>
    <sheet name="Lipiec - wydatki" sheetId="23" r:id="rId24"/>
    <sheet name="Czerwiec - wydatki " sheetId="24" r:id="rId25"/>
    <sheet name="Maj - wydatki" sheetId="25" r:id="rId26"/>
    <sheet name="Kwiecień - wydatki" sheetId="26" r:id="rId27"/>
    <sheet name="Jedzenie" sheetId="27" r:id="rId28"/>
    <sheet name="Marzec - wydatki" sheetId="28" r:id="rId29"/>
    <sheet name="Luty - wydatki" sheetId="29" r:id="rId30"/>
    <sheet name="Styczeń - wydatki" sheetId="30" r:id="rId31"/>
    <sheet name="Grudzień - wydatki" sheetId="31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5" roundtripDataChecksum="S4MMg2AiGydOzM9W77mw2xTESwEosz0WRrPFON+6Nr0="/>
    </ext>
  </extLst>
</workbook>
</file>

<file path=xl/calcChain.xml><?xml version="1.0" encoding="utf-8"?>
<calcChain xmlns="http://schemas.openxmlformats.org/spreadsheetml/2006/main">
  <c r="P8" i="32" l="1"/>
  <c r="F7" i="32"/>
  <c r="E7" i="32" s="1"/>
  <c r="F7" i="1"/>
  <c r="F6" i="32"/>
  <c r="O4" i="32"/>
  <c r="F9" i="1"/>
  <c r="F8" i="1"/>
  <c r="F10" i="1"/>
  <c r="F19" i="1"/>
  <c r="F21" i="1" s="1"/>
  <c r="P8" i="1"/>
  <c r="F6" i="1"/>
  <c r="L41" i="32"/>
  <c r="K41" i="32"/>
  <c r="J41" i="32"/>
  <c r="S4" i="32" s="1"/>
  <c r="E37" i="32"/>
  <c r="F35" i="32"/>
  <c r="D35" i="32"/>
  <c r="S3" i="32" s="1"/>
  <c r="E34" i="32"/>
  <c r="E33" i="32"/>
  <c r="E32" i="32"/>
  <c r="E31" i="32"/>
  <c r="E30" i="32"/>
  <c r="L29" i="32"/>
  <c r="K29" i="32"/>
  <c r="J29" i="32"/>
  <c r="R4" i="32" s="1"/>
  <c r="E29" i="32"/>
  <c r="E28" i="32"/>
  <c r="E27" i="32"/>
  <c r="E26" i="32"/>
  <c r="E25" i="32"/>
  <c r="D21" i="32"/>
  <c r="R3" i="32" s="1"/>
  <c r="E20" i="32"/>
  <c r="F21" i="32"/>
  <c r="E19" i="32"/>
  <c r="E18" i="32"/>
  <c r="Q17" i="32"/>
  <c r="O17" i="32"/>
  <c r="L17" i="32"/>
  <c r="K17" i="32"/>
  <c r="J17" i="32"/>
  <c r="Q4" i="32" s="1"/>
  <c r="D14" i="32"/>
  <c r="E13" i="32"/>
  <c r="E12" i="32"/>
  <c r="E11" i="32"/>
  <c r="E10" i="32"/>
  <c r="E9" i="32"/>
  <c r="P11" i="32"/>
  <c r="E8" i="32"/>
  <c r="E6" i="32"/>
  <c r="E5" i="32"/>
  <c r="E4" i="32"/>
  <c r="E24" i="31"/>
  <c r="E23" i="31"/>
  <c r="E22" i="31"/>
  <c r="E21" i="31"/>
  <c r="E20" i="31"/>
  <c r="E19" i="31"/>
  <c r="F18" i="31"/>
  <c r="E18" i="31" s="1"/>
  <c r="E17" i="31"/>
  <c r="E16" i="31"/>
  <c r="E15" i="31"/>
  <c r="E14" i="31"/>
  <c r="F13" i="31"/>
  <c r="E13" i="31" s="1"/>
  <c r="E12" i="31"/>
  <c r="E11" i="31"/>
  <c r="E10" i="31"/>
  <c r="F9" i="31"/>
  <c r="E9" i="31"/>
  <c r="E8" i="31"/>
  <c r="M7" i="31"/>
  <c r="E7" i="31"/>
  <c r="M6" i="31"/>
  <c r="E6" i="31"/>
  <c r="M5" i="31"/>
  <c r="N5" i="31" s="1"/>
  <c r="F5" i="31"/>
  <c r="E5" i="31" s="1"/>
  <c r="J4" i="31"/>
  <c r="I4" i="31"/>
  <c r="H4" i="31"/>
  <c r="F4" i="31" s="1"/>
  <c r="E4" i="31" s="1"/>
  <c r="G4" i="31"/>
  <c r="G3" i="31"/>
  <c r="F3" i="31"/>
  <c r="E3" i="31" s="1"/>
  <c r="E23" i="30"/>
  <c r="E22" i="30"/>
  <c r="E21" i="30"/>
  <c r="E20" i="30"/>
  <c r="E19" i="30"/>
  <c r="E18" i="30"/>
  <c r="E17" i="30"/>
  <c r="E16" i="30"/>
  <c r="E15" i="30"/>
  <c r="E14" i="30"/>
  <c r="F13" i="30"/>
  <c r="E13" i="30" s="1"/>
  <c r="F12" i="30"/>
  <c r="E12" i="30"/>
  <c r="E11" i="30"/>
  <c r="E10" i="30"/>
  <c r="E9" i="30"/>
  <c r="E8" i="30"/>
  <c r="E7" i="30"/>
  <c r="M6" i="30"/>
  <c r="M7" i="30" s="1"/>
  <c r="E6" i="30"/>
  <c r="M5" i="30"/>
  <c r="E5" i="30"/>
  <c r="J4" i="30"/>
  <c r="I4" i="30"/>
  <c r="H4" i="30"/>
  <c r="G4" i="30"/>
  <c r="F4" i="30"/>
  <c r="E4" i="30" s="1"/>
  <c r="N6" i="30" s="1"/>
  <c r="G3" i="30"/>
  <c r="F3" i="30" s="1"/>
  <c r="E3" i="30" s="1"/>
  <c r="N5" i="30" s="1"/>
  <c r="E38" i="29"/>
  <c r="E23" i="29"/>
  <c r="E22" i="29"/>
  <c r="E21" i="29"/>
  <c r="E20" i="29"/>
  <c r="E19" i="29"/>
  <c r="E18" i="29"/>
  <c r="E17" i="29"/>
  <c r="F16" i="29"/>
  <c r="E16" i="29"/>
  <c r="E15" i="29"/>
  <c r="E14" i="29"/>
  <c r="F13" i="29"/>
  <c r="E13" i="29"/>
  <c r="F12" i="29"/>
  <c r="E12" i="29" s="1"/>
  <c r="E11" i="29"/>
  <c r="E10" i="29"/>
  <c r="E9" i="29"/>
  <c r="E8" i="29"/>
  <c r="E7" i="29"/>
  <c r="M6" i="29"/>
  <c r="M7" i="29" s="1"/>
  <c r="F6" i="29"/>
  <c r="E6" i="29"/>
  <c r="M5" i="29"/>
  <c r="E5" i="29"/>
  <c r="J4" i="29"/>
  <c r="I4" i="29"/>
  <c r="H4" i="29"/>
  <c r="G4" i="29"/>
  <c r="F4" i="29" s="1"/>
  <c r="E4" i="29" s="1"/>
  <c r="F3" i="29"/>
  <c r="E3" i="29" s="1"/>
  <c r="N5" i="29" s="1"/>
  <c r="E31" i="28"/>
  <c r="E30" i="28"/>
  <c r="F29" i="28"/>
  <c r="E29" i="28" s="1"/>
  <c r="F27" i="28"/>
  <c r="E27" i="28"/>
  <c r="E26" i="28"/>
  <c r="E25" i="28"/>
  <c r="E23" i="28"/>
  <c r="E22" i="28"/>
  <c r="E21" i="28"/>
  <c r="E20" i="28"/>
  <c r="E19" i="28"/>
  <c r="E18" i="28"/>
  <c r="F17" i="28"/>
  <c r="E17" i="28" s="1"/>
  <c r="E16" i="28"/>
  <c r="E15" i="28"/>
  <c r="E14" i="28"/>
  <c r="F13" i="28"/>
  <c r="E13" i="28" s="1"/>
  <c r="F12" i="28"/>
  <c r="E12" i="28"/>
  <c r="F11" i="28"/>
  <c r="E11" i="28"/>
  <c r="E10" i="28"/>
  <c r="F9" i="28"/>
  <c r="E9" i="28"/>
  <c r="E8" i="28"/>
  <c r="M7" i="28"/>
  <c r="E7" i="28"/>
  <c r="M6" i="28"/>
  <c r="F6" i="28"/>
  <c r="E6" i="28" s="1"/>
  <c r="M5" i="28"/>
  <c r="E5" i="28"/>
  <c r="J4" i="28"/>
  <c r="F4" i="28" s="1"/>
  <c r="E4" i="28" s="1"/>
  <c r="I4" i="28"/>
  <c r="H4" i="28"/>
  <c r="G4" i="28"/>
  <c r="E3" i="28"/>
  <c r="N5" i="28" s="1"/>
  <c r="E35" i="26"/>
  <c r="E30" i="26"/>
  <c r="E29" i="26"/>
  <c r="E28" i="26"/>
  <c r="E26" i="26"/>
  <c r="E25" i="26"/>
  <c r="E24" i="26"/>
  <c r="E22" i="26"/>
  <c r="E21" i="26"/>
  <c r="E20" i="26"/>
  <c r="F19" i="26"/>
  <c r="E19" i="26"/>
  <c r="E18" i="26"/>
  <c r="E17" i="26"/>
  <c r="F16" i="26"/>
  <c r="E16" i="26"/>
  <c r="E15" i="26"/>
  <c r="E14" i="26"/>
  <c r="E13" i="26"/>
  <c r="F12" i="26"/>
  <c r="E12" i="26"/>
  <c r="F11" i="26"/>
  <c r="E11" i="26" s="1"/>
  <c r="E10" i="26"/>
  <c r="E9" i="26"/>
  <c r="E8" i="26"/>
  <c r="E7" i="26"/>
  <c r="E6" i="26"/>
  <c r="N5" i="26"/>
  <c r="M5" i="26"/>
  <c r="E5" i="26"/>
  <c r="F4" i="26"/>
  <c r="D4" i="26"/>
  <c r="M6" i="26" s="1"/>
  <c r="M7" i="26" s="1"/>
  <c r="E3" i="26"/>
  <c r="F37" i="25"/>
  <c r="K33" i="25"/>
  <c r="I33" i="25"/>
  <c r="E33" i="25"/>
  <c r="D33" i="25"/>
  <c r="C33" i="25"/>
  <c r="K32" i="25"/>
  <c r="J32" i="25"/>
  <c r="K31" i="25"/>
  <c r="J31" i="25"/>
  <c r="K30" i="25"/>
  <c r="J30" i="25" s="1"/>
  <c r="J33" i="25" s="1"/>
  <c r="D30" i="25"/>
  <c r="K29" i="25"/>
  <c r="J29" i="25"/>
  <c r="D29" i="25"/>
  <c r="J24" i="25"/>
  <c r="H24" i="25"/>
  <c r="I24" i="25" s="1"/>
  <c r="E24" i="25"/>
  <c r="C24" i="25"/>
  <c r="D24" i="25" s="1"/>
  <c r="J23" i="25"/>
  <c r="H23" i="25"/>
  <c r="I23" i="25" s="1"/>
  <c r="E23" i="25"/>
  <c r="E25" i="25" s="1"/>
  <c r="C23" i="25"/>
  <c r="D23" i="25" s="1"/>
  <c r="K23" i="25" s="1"/>
  <c r="J22" i="25"/>
  <c r="H22" i="25"/>
  <c r="I22" i="25" s="1"/>
  <c r="E22" i="25"/>
  <c r="C22" i="25"/>
  <c r="D22" i="25" s="1"/>
  <c r="K22" i="25" s="1"/>
  <c r="J21" i="25"/>
  <c r="J25" i="25" s="1"/>
  <c r="H21" i="25"/>
  <c r="I21" i="25" s="1"/>
  <c r="E21" i="25"/>
  <c r="C21" i="25"/>
  <c r="D21" i="25" s="1"/>
  <c r="I17" i="25"/>
  <c r="I37" i="25" s="1"/>
  <c r="C17" i="25"/>
  <c r="C37" i="25" s="1"/>
  <c r="N6" i="25" s="1"/>
  <c r="J16" i="25"/>
  <c r="K15" i="25"/>
  <c r="J15" i="25"/>
  <c r="K14" i="25"/>
  <c r="J14" i="25"/>
  <c r="K13" i="25"/>
  <c r="J13" i="25"/>
  <c r="K12" i="25"/>
  <c r="J12" i="25"/>
  <c r="K11" i="25"/>
  <c r="J11" i="25" s="1"/>
  <c r="K10" i="25"/>
  <c r="J10" i="25" s="1"/>
  <c r="K9" i="25"/>
  <c r="J9" i="25" s="1"/>
  <c r="E9" i="25"/>
  <c r="D9" i="25" s="1"/>
  <c r="K8" i="25"/>
  <c r="J8" i="25"/>
  <c r="E8" i="25"/>
  <c r="D8" i="25"/>
  <c r="K7" i="25"/>
  <c r="J7" i="25"/>
  <c r="E7" i="25"/>
  <c r="D7" i="25"/>
  <c r="K6" i="25"/>
  <c r="J6" i="25"/>
  <c r="E6" i="25"/>
  <c r="D6" i="25" s="1"/>
  <c r="P5" i="25"/>
  <c r="N5" i="25"/>
  <c r="J5" i="25"/>
  <c r="E5" i="25"/>
  <c r="D5" i="25"/>
  <c r="P4" i="25"/>
  <c r="O4" i="25"/>
  <c r="K4" i="25"/>
  <c r="J4" i="25"/>
  <c r="E4" i="25"/>
  <c r="D4" i="25" s="1"/>
  <c r="P3" i="25"/>
  <c r="K3" i="25"/>
  <c r="E3" i="25"/>
  <c r="D3" i="25" s="1"/>
  <c r="F37" i="24"/>
  <c r="I33" i="24"/>
  <c r="E33" i="24"/>
  <c r="C33" i="24"/>
  <c r="E32" i="24"/>
  <c r="D32" i="24"/>
  <c r="K31" i="24"/>
  <c r="J31" i="24"/>
  <c r="D31" i="24"/>
  <c r="K30" i="24"/>
  <c r="J30" i="24"/>
  <c r="D30" i="24"/>
  <c r="K29" i="24"/>
  <c r="D29" i="24"/>
  <c r="D33" i="24" s="1"/>
  <c r="J24" i="24"/>
  <c r="H24" i="24"/>
  <c r="I24" i="24" s="1"/>
  <c r="E24" i="24"/>
  <c r="C24" i="24"/>
  <c r="D24" i="24" s="1"/>
  <c r="K24" i="24" s="1"/>
  <c r="J23" i="24"/>
  <c r="H23" i="24"/>
  <c r="I23" i="24" s="1"/>
  <c r="E23" i="24"/>
  <c r="C23" i="24"/>
  <c r="D23" i="24" s="1"/>
  <c r="J22" i="24"/>
  <c r="H22" i="24"/>
  <c r="I22" i="24" s="1"/>
  <c r="K22" i="24" s="1"/>
  <c r="E22" i="24"/>
  <c r="C22" i="24"/>
  <c r="J21" i="24"/>
  <c r="I21" i="24"/>
  <c r="H21" i="24"/>
  <c r="E21" i="24"/>
  <c r="C21" i="24"/>
  <c r="D21" i="24" s="1"/>
  <c r="K17" i="24"/>
  <c r="I17" i="24"/>
  <c r="I37" i="24" s="1"/>
  <c r="C17" i="24"/>
  <c r="C37" i="24" s="1"/>
  <c r="N6" i="24" s="1"/>
  <c r="J15" i="24"/>
  <c r="J14" i="24"/>
  <c r="J13" i="24"/>
  <c r="J12" i="24"/>
  <c r="J11" i="24"/>
  <c r="J10" i="24"/>
  <c r="D9" i="24"/>
  <c r="J8" i="24"/>
  <c r="E8" i="24"/>
  <c r="D8" i="24"/>
  <c r="J7" i="24"/>
  <c r="D7" i="24"/>
  <c r="J6" i="24"/>
  <c r="E6" i="24"/>
  <c r="E17" i="24" s="1"/>
  <c r="N5" i="24"/>
  <c r="J5" i="24"/>
  <c r="D5" i="24"/>
  <c r="P4" i="24"/>
  <c r="O4" i="24"/>
  <c r="O5" i="24" s="1"/>
  <c r="J4" i="24"/>
  <c r="D4" i="24"/>
  <c r="P3" i="24"/>
  <c r="O3" i="24"/>
  <c r="K3" i="24"/>
  <c r="J3" i="24" s="1"/>
  <c r="D3" i="24"/>
  <c r="I37" i="23"/>
  <c r="F37" i="23"/>
  <c r="C37" i="23"/>
  <c r="K33" i="23"/>
  <c r="J33" i="23"/>
  <c r="I33" i="23"/>
  <c r="E33" i="23"/>
  <c r="D33" i="23"/>
  <c r="C33" i="23"/>
  <c r="K31" i="23"/>
  <c r="J31" i="23" s="1"/>
  <c r="D31" i="23"/>
  <c r="K30" i="23"/>
  <c r="J30" i="23"/>
  <c r="E30" i="23"/>
  <c r="D30" i="23"/>
  <c r="K29" i="23"/>
  <c r="J29" i="23" s="1"/>
  <c r="H25" i="23"/>
  <c r="E25" i="23"/>
  <c r="D25" i="23"/>
  <c r="J24" i="23"/>
  <c r="I24" i="23" s="1"/>
  <c r="D24" i="23"/>
  <c r="K24" i="23" s="1"/>
  <c r="J23" i="23"/>
  <c r="I23" i="23" s="1"/>
  <c r="D23" i="23"/>
  <c r="J22" i="23"/>
  <c r="I22" i="23"/>
  <c r="E22" i="23"/>
  <c r="D22" i="23"/>
  <c r="K22" i="23" s="1"/>
  <c r="N21" i="23"/>
  <c r="I21" i="23"/>
  <c r="I25" i="23" s="1"/>
  <c r="E21" i="23"/>
  <c r="D21" i="23"/>
  <c r="K21" i="23" s="1"/>
  <c r="I17" i="23"/>
  <c r="C17" i="23"/>
  <c r="J14" i="23"/>
  <c r="N13" i="23"/>
  <c r="J13" i="23"/>
  <c r="J12" i="23"/>
  <c r="J11" i="23"/>
  <c r="E11" i="23"/>
  <c r="D11" i="23"/>
  <c r="J10" i="23"/>
  <c r="D10" i="23"/>
  <c r="J9" i="23"/>
  <c r="D9" i="23"/>
  <c r="J8" i="23"/>
  <c r="E8" i="23"/>
  <c r="D8" i="23"/>
  <c r="J7" i="23"/>
  <c r="D7" i="23"/>
  <c r="N6" i="23"/>
  <c r="J6" i="23"/>
  <c r="E6" i="23"/>
  <c r="E17" i="23" s="1"/>
  <c r="E37" i="23" s="1"/>
  <c r="O5" i="23"/>
  <c r="N5" i="23"/>
  <c r="Q5" i="23" s="1"/>
  <c r="J5" i="23"/>
  <c r="D5" i="23"/>
  <c r="P4" i="23"/>
  <c r="O4" i="23"/>
  <c r="J4" i="23"/>
  <c r="D4" i="23"/>
  <c r="P3" i="23"/>
  <c r="P5" i="23" s="1"/>
  <c r="O3" i="23"/>
  <c r="K3" i="23"/>
  <c r="D3" i="23"/>
  <c r="F37" i="22"/>
  <c r="C37" i="22"/>
  <c r="I35" i="22"/>
  <c r="J34" i="22"/>
  <c r="J33" i="22"/>
  <c r="E33" i="22"/>
  <c r="D33" i="22"/>
  <c r="C33" i="22"/>
  <c r="J32" i="22"/>
  <c r="K31" i="22"/>
  <c r="J31" i="22"/>
  <c r="D31" i="22"/>
  <c r="K30" i="22"/>
  <c r="J30" i="22"/>
  <c r="D30" i="22"/>
  <c r="K29" i="22"/>
  <c r="D29" i="22"/>
  <c r="H25" i="22"/>
  <c r="J24" i="22"/>
  <c r="I24" i="22"/>
  <c r="K24" i="22" s="1"/>
  <c r="D24" i="22"/>
  <c r="J23" i="22"/>
  <c r="E23" i="22"/>
  <c r="D23" i="22" s="1"/>
  <c r="J22" i="22"/>
  <c r="I22" i="22"/>
  <c r="E22" i="22"/>
  <c r="D22" i="22"/>
  <c r="K22" i="22" s="1"/>
  <c r="N21" i="22"/>
  <c r="I21" i="22"/>
  <c r="E21" i="22"/>
  <c r="D21" i="22" s="1"/>
  <c r="I17" i="22"/>
  <c r="C17" i="22"/>
  <c r="J14" i="22"/>
  <c r="N13" i="22"/>
  <c r="J13" i="22"/>
  <c r="N12" i="22"/>
  <c r="J12" i="22"/>
  <c r="E12" i="22"/>
  <c r="D12" i="22"/>
  <c r="J11" i="22"/>
  <c r="E11" i="22"/>
  <c r="D11" i="22" s="1"/>
  <c r="J10" i="22"/>
  <c r="D10" i="22"/>
  <c r="J9" i="22"/>
  <c r="D9" i="22"/>
  <c r="J8" i="22"/>
  <c r="E8" i="22"/>
  <c r="J7" i="22"/>
  <c r="D7" i="22"/>
  <c r="J6" i="22"/>
  <c r="E6" i="22"/>
  <c r="D6" i="22"/>
  <c r="P5" i="22"/>
  <c r="N5" i="22"/>
  <c r="J5" i="22"/>
  <c r="D5" i="22"/>
  <c r="P4" i="22"/>
  <c r="J4" i="22"/>
  <c r="D4" i="22"/>
  <c r="P3" i="22"/>
  <c r="O3" i="22"/>
  <c r="K3" i="22"/>
  <c r="K17" i="22" s="1"/>
  <c r="J3" i="22"/>
  <c r="E3" i="22"/>
  <c r="D3" i="22"/>
  <c r="F37" i="21"/>
  <c r="E37" i="21"/>
  <c r="I35" i="21"/>
  <c r="J34" i="21"/>
  <c r="J33" i="21"/>
  <c r="E33" i="21"/>
  <c r="D33" i="21"/>
  <c r="C33" i="21"/>
  <c r="J32" i="21"/>
  <c r="K31" i="21"/>
  <c r="J31" i="21"/>
  <c r="D31" i="21"/>
  <c r="K30" i="21"/>
  <c r="J30" i="21" s="1"/>
  <c r="D30" i="21"/>
  <c r="K29" i="21"/>
  <c r="H25" i="21"/>
  <c r="J24" i="21"/>
  <c r="I24" i="21" s="1"/>
  <c r="E24" i="21"/>
  <c r="D24" i="21" s="1"/>
  <c r="K23" i="21"/>
  <c r="J23" i="21"/>
  <c r="I23" i="21" s="1"/>
  <c r="E23" i="21"/>
  <c r="D23" i="21" s="1"/>
  <c r="J22" i="21"/>
  <c r="I22" i="21"/>
  <c r="E22" i="21"/>
  <c r="D22" i="21"/>
  <c r="K22" i="21" s="1"/>
  <c r="N21" i="21"/>
  <c r="I21" i="21"/>
  <c r="E21" i="21"/>
  <c r="E25" i="21" s="1"/>
  <c r="D21" i="21"/>
  <c r="K21" i="21" s="1"/>
  <c r="I17" i="21"/>
  <c r="J14" i="21"/>
  <c r="N13" i="21"/>
  <c r="J13" i="21"/>
  <c r="E13" i="21"/>
  <c r="D13" i="21"/>
  <c r="N12" i="21"/>
  <c r="J12" i="21"/>
  <c r="D12" i="21"/>
  <c r="J11" i="21"/>
  <c r="D11" i="21"/>
  <c r="J10" i="21"/>
  <c r="J9" i="21"/>
  <c r="D9" i="21"/>
  <c r="J8" i="21"/>
  <c r="E8" i="21"/>
  <c r="D8" i="21" s="1"/>
  <c r="J7" i="21"/>
  <c r="D7" i="21"/>
  <c r="J6" i="21"/>
  <c r="E6" i="21"/>
  <c r="E17" i="21" s="1"/>
  <c r="C6" i="21"/>
  <c r="N5" i="21"/>
  <c r="J5" i="21"/>
  <c r="D5" i="21"/>
  <c r="P4" i="21"/>
  <c r="P5" i="21" s="1"/>
  <c r="J4" i="21"/>
  <c r="D4" i="21"/>
  <c r="P3" i="21"/>
  <c r="K3" i="21"/>
  <c r="K17" i="21" s="1"/>
  <c r="J3" i="21"/>
  <c r="D3" i="21"/>
  <c r="I42" i="20"/>
  <c r="F40" i="20"/>
  <c r="I38" i="20"/>
  <c r="J37" i="20"/>
  <c r="J35" i="20"/>
  <c r="J34" i="20"/>
  <c r="J33" i="20"/>
  <c r="E33" i="20"/>
  <c r="C33" i="20"/>
  <c r="Q5" i="20" s="1"/>
  <c r="J32" i="20"/>
  <c r="K31" i="20"/>
  <c r="J31" i="20" s="1"/>
  <c r="D31" i="20"/>
  <c r="K30" i="20"/>
  <c r="J30" i="20" s="1"/>
  <c r="D30" i="20"/>
  <c r="K29" i="20"/>
  <c r="J29" i="20" s="1"/>
  <c r="H25" i="20"/>
  <c r="P4" i="20" s="1"/>
  <c r="J24" i="20"/>
  <c r="J25" i="20" s="1"/>
  <c r="E24" i="20"/>
  <c r="D24" i="20"/>
  <c r="J23" i="20"/>
  <c r="I23" i="20"/>
  <c r="E23" i="20"/>
  <c r="D23" i="20" s="1"/>
  <c r="K23" i="20" s="1"/>
  <c r="J22" i="20"/>
  <c r="I22" i="20" s="1"/>
  <c r="E22" i="20"/>
  <c r="D22" i="20"/>
  <c r="N21" i="20"/>
  <c r="I21" i="20"/>
  <c r="E21" i="20"/>
  <c r="D21" i="20" s="1"/>
  <c r="K17" i="20"/>
  <c r="I17" i="20"/>
  <c r="E17" i="20"/>
  <c r="C17" i="20"/>
  <c r="J14" i="20"/>
  <c r="D14" i="20"/>
  <c r="N13" i="20"/>
  <c r="J13" i="20"/>
  <c r="D13" i="20"/>
  <c r="J12" i="20"/>
  <c r="D12" i="20"/>
  <c r="A12" i="20"/>
  <c r="J11" i="20"/>
  <c r="D11" i="20"/>
  <c r="J10" i="20"/>
  <c r="D10" i="20"/>
  <c r="J9" i="20"/>
  <c r="D9" i="20"/>
  <c r="J8" i="20"/>
  <c r="E8" i="20"/>
  <c r="D8" i="20"/>
  <c r="J7" i="20"/>
  <c r="D7" i="20"/>
  <c r="J6" i="20"/>
  <c r="E6" i="20"/>
  <c r="D6" i="20" s="1"/>
  <c r="N5" i="20"/>
  <c r="J5" i="20"/>
  <c r="D5" i="20"/>
  <c r="O4" i="20"/>
  <c r="N4" i="20"/>
  <c r="J4" i="20"/>
  <c r="D4" i="20"/>
  <c r="P3" i="20"/>
  <c r="P5" i="20" s="1"/>
  <c r="O3" i="20"/>
  <c r="O5" i="20" s="1"/>
  <c r="J3" i="20"/>
  <c r="D3" i="20"/>
  <c r="F40" i="19"/>
  <c r="C40" i="19"/>
  <c r="I38" i="19"/>
  <c r="J37" i="19"/>
  <c r="J33" i="19"/>
  <c r="E33" i="19"/>
  <c r="C33" i="19"/>
  <c r="J32" i="19"/>
  <c r="D32" i="19"/>
  <c r="D31" i="19"/>
  <c r="K30" i="19"/>
  <c r="K38" i="19" s="1"/>
  <c r="K42" i="19" s="1"/>
  <c r="J30" i="19"/>
  <c r="D30" i="19"/>
  <c r="D33" i="19" s="1"/>
  <c r="K29" i="19"/>
  <c r="J29" i="19"/>
  <c r="H25" i="19"/>
  <c r="P4" i="19" s="1"/>
  <c r="J24" i="19"/>
  <c r="I24" i="19" s="1"/>
  <c r="E24" i="19"/>
  <c r="D24" i="19" s="1"/>
  <c r="K24" i="19" s="1"/>
  <c r="J23" i="19"/>
  <c r="I23" i="19"/>
  <c r="E23" i="19"/>
  <c r="D23" i="19" s="1"/>
  <c r="K23" i="19" s="1"/>
  <c r="J22" i="19"/>
  <c r="J25" i="19" s="1"/>
  <c r="E22" i="19"/>
  <c r="D22" i="19"/>
  <c r="N21" i="19"/>
  <c r="I21" i="19"/>
  <c r="E21" i="19"/>
  <c r="D21" i="19"/>
  <c r="K17" i="19"/>
  <c r="I17" i="19"/>
  <c r="I42" i="19" s="1"/>
  <c r="C17" i="19"/>
  <c r="J14" i="19"/>
  <c r="N13" i="19"/>
  <c r="J13" i="19"/>
  <c r="D13" i="19"/>
  <c r="J12" i="19"/>
  <c r="D12" i="19"/>
  <c r="J11" i="19"/>
  <c r="E11" i="19"/>
  <c r="D11" i="19" s="1"/>
  <c r="J10" i="19"/>
  <c r="J9" i="19"/>
  <c r="D9" i="19"/>
  <c r="J8" i="19"/>
  <c r="E8" i="19"/>
  <c r="E17" i="19" s="1"/>
  <c r="E40" i="19" s="1"/>
  <c r="J7" i="19"/>
  <c r="D7" i="19"/>
  <c r="J6" i="19"/>
  <c r="E6" i="19"/>
  <c r="D6" i="19"/>
  <c r="Q5" i="19"/>
  <c r="P5" i="19"/>
  <c r="N5" i="19"/>
  <c r="J5" i="19"/>
  <c r="D5" i="19"/>
  <c r="O4" i="19"/>
  <c r="O5" i="19" s="1"/>
  <c r="J4" i="19"/>
  <c r="J17" i="19" s="1"/>
  <c r="D4" i="19"/>
  <c r="P3" i="19"/>
  <c r="O3" i="19"/>
  <c r="J3" i="19"/>
  <c r="D3" i="19"/>
  <c r="L17" i="18"/>
  <c r="K17" i="18"/>
  <c r="J17" i="18"/>
  <c r="D14" i="18"/>
  <c r="Q3" i="18" s="1"/>
  <c r="Q5" i="18" s="1"/>
  <c r="P5" i="18" s="1"/>
  <c r="S5" i="18"/>
  <c r="R5" i="18"/>
  <c r="O5" i="18"/>
  <c r="T4" i="18"/>
  <c r="Q4" i="18"/>
  <c r="T3" i="18"/>
  <c r="L41" i="17"/>
  <c r="K41" i="17"/>
  <c r="J41" i="17"/>
  <c r="F35" i="17"/>
  <c r="D35" i="17"/>
  <c r="L29" i="17"/>
  <c r="K29" i="17"/>
  <c r="J29" i="17"/>
  <c r="E27" i="17"/>
  <c r="E26" i="17"/>
  <c r="E25" i="17"/>
  <c r="E35" i="17" s="1"/>
  <c r="F21" i="17"/>
  <c r="E21" i="17"/>
  <c r="D21" i="17"/>
  <c r="E20" i="17"/>
  <c r="E19" i="17"/>
  <c r="E18" i="17"/>
  <c r="L17" i="17"/>
  <c r="K17" i="17"/>
  <c r="J17" i="17"/>
  <c r="Q4" i="17" s="1"/>
  <c r="D14" i="17"/>
  <c r="Q3" i="17" s="1"/>
  <c r="P3" i="17" s="1"/>
  <c r="T3" i="17" s="1"/>
  <c r="F13" i="17"/>
  <c r="E13" i="17" s="1"/>
  <c r="E12" i="17"/>
  <c r="E11" i="17"/>
  <c r="E10" i="17"/>
  <c r="F9" i="17"/>
  <c r="E9" i="17" s="1"/>
  <c r="E14" i="17" s="1"/>
  <c r="E37" i="17" s="1"/>
  <c r="E39" i="17" s="1"/>
  <c r="P8" i="17"/>
  <c r="E8" i="17"/>
  <c r="F7" i="17"/>
  <c r="E7" i="17"/>
  <c r="F6" i="17"/>
  <c r="E6" i="17"/>
  <c r="Q5" i="17"/>
  <c r="O5" i="17"/>
  <c r="E5" i="17"/>
  <c r="S4" i="17"/>
  <c r="R4" i="17"/>
  <c r="F4" i="17"/>
  <c r="E4" i="17"/>
  <c r="S3" i="17"/>
  <c r="S5" i="17" s="1"/>
  <c r="R3" i="17"/>
  <c r="R5" i="17" s="1"/>
  <c r="L41" i="16"/>
  <c r="K41" i="16"/>
  <c r="J41" i="16"/>
  <c r="F35" i="16"/>
  <c r="D35" i="16"/>
  <c r="L29" i="16"/>
  <c r="K29" i="16"/>
  <c r="J29" i="16"/>
  <c r="E27" i="16"/>
  <c r="E26" i="16"/>
  <c r="F25" i="16"/>
  <c r="E25" i="16"/>
  <c r="F21" i="16"/>
  <c r="D21" i="16"/>
  <c r="R3" i="16" s="1"/>
  <c r="E20" i="16"/>
  <c r="F19" i="16"/>
  <c r="E19" i="16" s="1"/>
  <c r="E18" i="16"/>
  <c r="E21" i="16" s="1"/>
  <c r="L17" i="16"/>
  <c r="K17" i="16"/>
  <c r="J17" i="16"/>
  <c r="D14" i="16"/>
  <c r="D37" i="16" s="1"/>
  <c r="F13" i="16"/>
  <c r="E13" i="16" s="1"/>
  <c r="E12" i="16"/>
  <c r="E11" i="16"/>
  <c r="P10" i="16"/>
  <c r="E10" i="16"/>
  <c r="F9" i="16"/>
  <c r="F14" i="16" s="1"/>
  <c r="E9" i="16"/>
  <c r="P8" i="16"/>
  <c r="E8" i="16"/>
  <c r="F7" i="16"/>
  <c r="E7" i="16" s="1"/>
  <c r="F6" i="16"/>
  <c r="E6" i="16"/>
  <c r="S5" i="16"/>
  <c r="O5" i="16"/>
  <c r="E5" i="16"/>
  <c r="S4" i="16"/>
  <c r="R4" i="16"/>
  <c r="Q4" i="16"/>
  <c r="E4" i="16"/>
  <c r="E14" i="16" s="1"/>
  <c r="S3" i="16"/>
  <c r="L41" i="15"/>
  <c r="K41" i="15"/>
  <c r="J41" i="15"/>
  <c r="F35" i="15"/>
  <c r="D35" i="15"/>
  <c r="L29" i="15"/>
  <c r="K29" i="15"/>
  <c r="J29" i="15"/>
  <c r="R4" i="15" s="1"/>
  <c r="P4" i="15" s="1"/>
  <c r="T4" i="15" s="1"/>
  <c r="F25" i="15"/>
  <c r="E25" i="15" s="1"/>
  <c r="E35" i="15" s="1"/>
  <c r="F21" i="15"/>
  <c r="D21" i="15"/>
  <c r="E20" i="15"/>
  <c r="E19" i="15"/>
  <c r="E21" i="15" s="1"/>
  <c r="E18" i="15"/>
  <c r="L17" i="15"/>
  <c r="K17" i="15"/>
  <c r="J17" i="15"/>
  <c r="Q4" i="15" s="1"/>
  <c r="D14" i="15"/>
  <c r="Q3" i="15" s="1"/>
  <c r="F13" i="15"/>
  <c r="E13" i="15"/>
  <c r="E12" i="15"/>
  <c r="F11" i="15"/>
  <c r="E11" i="15"/>
  <c r="P10" i="15"/>
  <c r="E10" i="15"/>
  <c r="F9" i="15"/>
  <c r="E9" i="15"/>
  <c r="P8" i="15"/>
  <c r="E8" i="15"/>
  <c r="F7" i="15"/>
  <c r="E7" i="15" s="1"/>
  <c r="F6" i="15"/>
  <c r="E6" i="15"/>
  <c r="Q5" i="15"/>
  <c r="O5" i="15"/>
  <c r="F5" i="15"/>
  <c r="E5" i="15"/>
  <c r="S4" i="15"/>
  <c r="F4" i="15"/>
  <c r="F14" i="15" s="1"/>
  <c r="S3" i="15"/>
  <c r="S5" i="15" s="1"/>
  <c r="R3" i="15"/>
  <c r="L41" i="14"/>
  <c r="K41" i="14"/>
  <c r="J41" i="14"/>
  <c r="D35" i="14"/>
  <c r="L29" i="14"/>
  <c r="K29" i="14"/>
  <c r="J29" i="14"/>
  <c r="R4" i="14" s="1"/>
  <c r="E29" i="14"/>
  <c r="E28" i="14"/>
  <c r="E27" i="14"/>
  <c r="O5" i="14" s="1"/>
  <c r="E26" i="14"/>
  <c r="F25" i="14"/>
  <c r="P23" i="14"/>
  <c r="D21" i="14"/>
  <c r="R3" i="14" s="1"/>
  <c r="E20" i="14"/>
  <c r="F19" i="14"/>
  <c r="E18" i="14"/>
  <c r="L17" i="14"/>
  <c r="K17" i="14"/>
  <c r="J17" i="14"/>
  <c r="F14" i="14"/>
  <c r="D14" i="14"/>
  <c r="F13" i="14"/>
  <c r="E13" i="14" s="1"/>
  <c r="E12" i="14"/>
  <c r="E11" i="14"/>
  <c r="P10" i="14"/>
  <c r="E10" i="14"/>
  <c r="F9" i="14"/>
  <c r="E9" i="14"/>
  <c r="P8" i="14"/>
  <c r="E8" i="14"/>
  <c r="F7" i="14"/>
  <c r="E7" i="14"/>
  <c r="F6" i="14"/>
  <c r="E6" i="14"/>
  <c r="E5" i="14"/>
  <c r="S4" i="14"/>
  <c r="Q4" i="14"/>
  <c r="E4" i="14"/>
  <c r="E14" i="14" s="1"/>
  <c r="S3" i="14"/>
  <c r="S5" i="14" s="1"/>
  <c r="Q3" i="14"/>
  <c r="Q5" i="14" s="1"/>
  <c r="J43" i="13"/>
  <c r="L41" i="13"/>
  <c r="K41" i="13"/>
  <c r="J41" i="13"/>
  <c r="F35" i="13"/>
  <c r="D35" i="13"/>
  <c r="S3" i="13" s="1"/>
  <c r="S5" i="13" s="1"/>
  <c r="L29" i="13"/>
  <c r="K29" i="13"/>
  <c r="J29" i="13"/>
  <c r="E29" i="13"/>
  <c r="E28" i="13"/>
  <c r="E27" i="13"/>
  <c r="E26" i="13"/>
  <c r="E35" i="13" s="1"/>
  <c r="F25" i="13"/>
  <c r="E25" i="13"/>
  <c r="D25" i="13"/>
  <c r="E20" i="13"/>
  <c r="E19" i="13"/>
  <c r="F18" i="13"/>
  <c r="F21" i="13" s="1"/>
  <c r="D18" i="13"/>
  <c r="D21" i="13" s="1"/>
  <c r="R3" i="13" s="1"/>
  <c r="O17" i="13"/>
  <c r="L17" i="13"/>
  <c r="K17" i="13"/>
  <c r="J17" i="13"/>
  <c r="F14" i="13"/>
  <c r="F13" i="13"/>
  <c r="E13" i="13"/>
  <c r="P12" i="13"/>
  <c r="E12" i="13"/>
  <c r="P11" i="13"/>
  <c r="E11" i="13"/>
  <c r="E10" i="13"/>
  <c r="F9" i="13"/>
  <c r="E9" i="13"/>
  <c r="D9" i="13"/>
  <c r="D14" i="13" s="1"/>
  <c r="P8" i="13"/>
  <c r="E8" i="13"/>
  <c r="F7" i="13"/>
  <c r="E7" i="13"/>
  <c r="F6" i="13"/>
  <c r="E6" i="13"/>
  <c r="E5" i="13"/>
  <c r="S4" i="13"/>
  <c r="R4" i="13"/>
  <c r="P4" i="13" s="1"/>
  <c r="T4" i="13" s="1"/>
  <c r="Q4" i="13"/>
  <c r="O4" i="13"/>
  <c r="E4" i="13"/>
  <c r="O3" i="13"/>
  <c r="J43" i="12"/>
  <c r="L41" i="12"/>
  <c r="K41" i="12"/>
  <c r="J41" i="12"/>
  <c r="S4" i="12" s="1"/>
  <c r="F35" i="12"/>
  <c r="D35" i="12"/>
  <c r="S3" i="12" s="1"/>
  <c r="F30" i="12"/>
  <c r="E30" i="12"/>
  <c r="L29" i="12"/>
  <c r="K29" i="12"/>
  <c r="J29" i="12"/>
  <c r="R4" i="12" s="1"/>
  <c r="R5" i="12" s="1"/>
  <c r="E29" i="12"/>
  <c r="E28" i="12"/>
  <c r="E27" i="12"/>
  <c r="E26" i="12"/>
  <c r="E25" i="12"/>
  <c r="F21" i="12"/>
  <c r="D21" i="12"/>
  <c r="R3" i="12" s="1"/>
  <c r="E20" i="12"/>
  <c r="F19" i="12"/>
  <c r="E19" i="12"/>
  <c r="E18" i="12"/>
  <c r="O17" i="12"/>
  <c r="L17" i="12"/>
  <c r="K17" i="12"/>
  <c r="J17" i="12"/>
  <c r="Q4" i="12" s="1"/>
  <c r="D14" i="12"/>
  <c r="F13" i="12"/>
  <c r="E13" i="12" s="1"/>
  <c r="P12" i="12"/>
  <c r="E12" i="12"/>
  <c r="P11" i="12"/>
  <c r="F11" i="12"/>
  <c r="P10" i="12"/>
  <c r="E10" i="12"/>
  <c r="F9" i="12"/>
  <c r="E9" i="12"/>
  <c r="P8" i="12"/>
  <c r="F8" i="12"/>
  <c r="E8" i="12"/>
  <c r="F7" i="12"/>
  <c r="E7" i="12"/>
  <c r="E14" i="12" s="1"/>
  <c r="F6" i="12"/>
  <c r="E6" i="12"/>
  <c r="E5" i="12"/>
  <c r="E4" i="12"/>
  <c r="Q3" i="12"/>
  <c r="Q5" i="12" s="1"/>
  <c r="I43" i="11"/>
  <c r="L41" i="11"/>
  <c r="K41" i="11"/>
  <c r="J41" i="11"/>
  <c r="D35" i="11"/>
  <c r="S3" i="11" s="1"/>
  <c r="E30" i="11"/>
  <c r="L29" i="11"/>
  <c r="K29" i="11"/>
  <c r="J29" i="11"/>
  <c r="R4" i="11" s="1"/>
  <c r="E29" i="11"/>
  <c r="E28" i="11"/>
  <c r="E27" i="11"/>
  <c r="E26" i="11"/>
  <c r="F25" i="11"/>
  <c r="O22" i="11"/>
  <c r="F21" i="11"/>
  <c r="D21" i="11"/>
  <c r="E20" i="11"/>
  <c r="E19" i="11"/>
  <c r="E18" i="11"/>
  <c r="E21" i="11" s="1"/>
  <c r="L17" i="11"/>
  <c r="K17" i="11"/>
  <c r="J17" i="11"/>
  <c r="Q4" i="11" s="1"/>
  <c r="F14" i="11"/>
  <c r="E13" i="11"/>
  <c r="E12" i="11"/>
  <c r="E11" i="11"/>
  <c r="P10" i="11"/>
  <c r="E10" i="11"/>
  <c r="F9" i="11"/>
  <c r="E9" i="11" s="1"/>
  <c r="P8" i="11"/>
  <c r="E8" i="11"/>
  <c r="F7" i="11"/>
  <c r="E7" i="11"/>
  <c r="F6" i="11"/>
  <c r="E6" i="11"/>
  <c r="E14" i="11" s="1"/>
  <c r="D6" i="11"/>
  <c r="D14" i="11" s="1"/>
  <c r="E5" i="11"/>
  <c r="E4" i="11"/>
  <c r="R3" i="11"/>
  <c r="Q3" i="11"/>
  <c r="Q5" i="11" s="1"/>
  <c r="P3" i="11"/>
  <c r="T3" i="11" s="1"/>
  <c r="O3" i="11"/>
  <c r="L41" i="10"/>
  <c r="K41" i="10"/>
  <c r="J41" i="10"/>
  <c r="D35" i="10"/>
  <c r="S3" i="10" s="1"/>
  <c r="L29" i="10"/>
  <c r="K29" i="10"/>
  <c r="J29" i="10"/>
  <c r="R4" i="10" s="1"/>
  <c r="E29" i="10"/>
  <c r="E28" i="10"/>
  <c r="E27" i="10"/>
  <c r="F26" i="10"/>
  <c r="E26" i="10" s="1"/>
  <c r="F25" i="10"/>
  <c r="D21" i="10"/>
  <c r="R3" i="10" s="1"/>
  <c r="R5" i="10" s="1"/>
  <c r="E20" i="10"/>
  <c r="F19" i="10"/>
  <c r="E19" i="10"/>
  <c r="E18" i="10"/>
  <c r="E21" i="10" s="1"/>
  <c r="Q17" i="10"/>
  <c r="O17" i="10"/>
  <c r="L17" i="10"/>
  <c r="K17" i="10"/>
  <c r="J17" i="10"/>
  <c r="D14" i="10"/>
  <c r="F13" i="10"/>
  <c r="E13" i="10"/>
  <c r="P12" i="10"/>
  <c r="E12" i="10"/>
  <c r="E11" i="10"/>
  <c r="P10" i="10"/>
  <c r="E10" i="10"/>
  <c r="P9" i="10"/>
  <c r="P11" i="10" s="1"/>
  <c r="F9" i="10"/>
  <c r="E9" i="10" s="1"/>
  <c r="P8" i="10"/>
  <c r="F8" i="10"/>
  <c r="E8" i="10"/>
  <c r="F7" i="10"/>
  <c r="E7" i="10"/>
  <c r="F6" i="10"/>
  <c r="E6" i="10"/>
  <c r="J5" i="10"/>
  <c r="E5" i="10"/>
  <c r="S4" i="10"/>
  <c r="Q4" i="10"/>
  <c r="P4" i="10" s="1"/>
  <c r="T4" i="10" s="1"/>
  <c r="O4" i="10"/>
  <c r="E4" i="10"/>
  <c r="J43" i="9"/>
  <c r="L41" i="9"/>
  <c r="K41" i="9"/>
  <c r="J41" i="9"/>
  <c r="S4" i="9" s="1"/>
  <c r="F35" i="9"/>
  <c r="D35" i="9"/>
  <c r="S3" i="9" s="1"/>
  <c r="L29" i="9"/>
  <c r="K29" i="9"/>
  <c r="J29" i="9"/>
  <c r="E29" i="9"/>
  <c r="E28" i="9"/>
  <c r="E27" i="9"/>
  <c r="E26" i="9"/>
  <c r="F25" i="9"/>
  <c r="E25" i="9"/>
  <c r="F21" i="9"/>
  <c r="D21" i="9"/>
  <c r="E20" i="9"/>
  <c r="E19" i="9"/>
  <c r="E21" i="9" s="1"/>
  <c r="E18" i="9"/>
  <c r="Q17" i="9"/>
  <c r="O17" i="9"/>
  <c r="L17" i="9"/>
  <c r="K17" i="9"/>
  <c r="J17" i="9"/>
  <c r="Q4" i="9" s="1"/>
  <c r="P4" i="9" s="1"/>
  <c r="T4" i="9" s="1"/>
  <c r="D14" i="9"/>
  <c r="I43" i="9" s="1"/>
  <c r="F13" i="9"/>
  <c r="E13" i="9"/>
  <c r="P12" i="9"/>
  <c r="E12" i="9"/>
  <c r="E11" i="9"/>
  <c r="P10" i="9"/>
  <c r="E10" i="9"/>
  <c r="P9" i="9"/>
  <c r="P11" i="9" s="1"/>
  <c r="F9" i="9"/>
  <c r="E9" i="9"/>
  <c r="P8" i="9"/>
  <c r="F8" i="9"/>
  <c r="E8" i="9"/>
  <c r="F7" i="9"/>
  <c r="F14" i="9" s="1"/>
  <c r="F6" i="9"/>
  <c r="E6" i="9"/>
  <c r="S5" i="9"/>
  <c r="E5" i="9"/>
  <c r="R4" i="9"/>
  <c r="O4" i="9"/>
  <c r="E4" i="9"/>
  <c r="R3" i="9"/>
  <c r="R5" i="9" s="1"/>
  <c r="O3" i="9"/>
  <c r="L41" i="8"/>
  <c r="K41" i="8"/>
  <c r="J41" i="8"/>
  <c r="D35" i="8"/>
  <c r="S3" i="8" s="1"/>
  <c r="E30" i="8"/>
  <c r="L29" i="8"/>
  <c r="K29" i="8"/>
  <c r="J29" i="8"/>
  <c r="R4" i="8" s="1"/>
  <c r="E29" i="8"/>
  <c r="F28" i="8"/>
  <c r="F35" i="8" s="1"/>
  <c r="E28" i="8"/>
  <c r="E27" i="8"/>
  <c r="E26" i="8"/>
  <c r="E35" i="8" s="1"/>
  <c r="F25" i="8"/>
  <c r="E25" i="8"/>
  <c r="F21" i="8"/>
  <c r="D21" i="8"/>
  <c r="E20" i="8"/>
  <c r="E19" i="8"/>
  <c r="E18" i="8"/>
  <c r="Q17" i="8"/>
  <c r="O17" i="8"/>
  <c r="L17" i="8"/>
  <c r="K17" i="8"/>
  <c r="J17" i="8"/>
  <c r="D14" i="8"/>
  <c r="F13" i="8"/>
  <c r="E13" i="8"/>
  <c r="P12" i="8"/>
  <c r="E12" i="8"/>
  <c r="E11" i="8"/>
  <c r="P10" i="8"/>
  <c r="E10" i="8"/>
  <c r="P9" i="8"/>
  <c r="F9" i="8"/>
  <c r="E9" i="8"/>
  <c r="P8" i="8"/>
  <c r="E8" i="8"/>
  <c r="F7" i="8"/>
  <c r="E7" i="8" s="1"/>
  <c r="F6" i="8"/>
  <c r="E6" i="8" s="1"/>
  <c r="E5" i="8"/>
  <c r="S4" i="8"/>
  <c r="Q4" i="8"/>
  <c r="E4" i="8"/>
  <c r="R3" i="8"/>
  <c r="L41" i="7"/>
  <c r="K41" i="7"/>
  <c r="J41" i="7"/>
  <c r="S4" i="7" s="1"/>
  <c r="D35" i="7"/>
  <c r="S3" i="7" s="1"/>
  <c r="S5" i="7" s="1"/>
  <c r="F34" i="7"/>
  <c r="E34" i="7" s="1"/>
  <c r="E33" i="7"/>
  <c r="E32" i="7"/>
  <c r="E31" i="7"/>
  <c r="E30" i="7"/>
  <c r="L29" i="7"/>
  <c r="K29" i="7"/>
  <c r="J29" i="7"/>
  <c r="E29" i="7"/>
  <c r="E28" i="7"/>
  <c r="E27" i="7"/>
  <c r="E26" i="7"/>
  <c r="E25" i="7"/>
  <c r="F21" i="7"/>
  <c r="D21" i="7"/>
  <c r="E20" i="7"/>
  <c r="E19" i="7"/>
  <c r="E21" i="7" s="1"/>
  <c r="E18" i="7"/>
  <c r="Q17" i="7"/>
  <c r="O17" i="7"/>
  <c r="L17" i="7"/>
  <c r="K17" i="7"/>
  <c r="J17" i="7"/>
  <c r="Q4" i="7" s="1"/>
  <c r="F14" i="7"/>
  <c r="D14" i="7"/>
  <c r="F13" i="7"/>
  <c r="E13" i="7"/>
  <c r="P12" i="7"/>
  <c r="E12" i="7"/>
  <c r="E11" i="7"/>
  <c r="P10" i="7"/>
  <c r="P11" i="7" s="1"/>
  <c r="E10" i="7"/>
  <c r="P9" i="7"/>
  <c r="F9" i="7"/>
  <c r="E9" i="7"/>
  <c r="P8" i="7"/>
  <c r="F8" i="7"/>
  <c r="E8" i="7"/>
  <c r="F7" i="7"/>
  <c r="E7" i="7"/>
  <c r="F6" i="7"/>
  <c r="E6" i="7"/>
  <c r="E5" i="7"/>
  <c r="O4" i="7"/>
  <c r="E4" i="7"/>
  <c r="R3" i="7"/>
  <c r="K43" i="6"/>
  <c r="O5" i="6" s="1"/>
  <c r="I43" i="6"/>
  <c r="L41" i="6"/>
  <c r="K41" i="6"/>
  <c r="J41" i="6"/>
  <c r="J43" i="6" s="1"/>
  <c r="F35" i="6"/>
  <c r="D35" i="6"/>
  <c r="S3" i="6" s="1"/>
  <c r="E34" i="6"/>
  <c r="E33" i="6"/>
  <c r="E32" i="6"/>
  <c r="E31" i="6"/>
  <c r="E30" i="6"/>
  <c r="L29" i="6"/>
  <c r="K29" i="6"/>
  <c r="J29" i="6"/>
  <c r="E29" i="6"/>
  <c r="E28" i="6"/>
  <c r="E27" i="6"/>
  <c r="E26" i="6"/>
  <c r="F25" i="6"/>
  <c r="E25" i="6"/>
  <c r="D21" i="6"/>
  <c r="E20" i="6"/>
  <c r="F19" i="6"/>
  <c r="F21" i="6" s="1"/>
  <c r="E19" i="6"/>
  <c r="E18" i="6"/>
  <c r="E21" i="6" s="1"/>
  <c r="Q17" i="6"/>
  <c r="O17" i="6"/>
  <c r="L17" i="6"/>
  <c r="K17" i="6"/>
  <c r="J17" i="6"/>
  <c r="D14" i="6"/>
  <c r="F13" i="6"/>
  <c r="E13" i="6" s="1"/>
  <c r="P12" i="6"/>
  <c r="E12" i="6"/>
  <c r="P11" i="6"/>
  <c r="E11" i="6"/>
  <c r="P10" i="6"/>
  <c r="E10" i="6"/>
  <c r="P9" i="6"/>
  <c r="F9" i="6"/>
  <c r="E9" i="6"/>
  <c r="P8" i="6"/>
  <c r="F8" i="6"/>
  <c r="E8" i="6" s="1"/>
  <c r="F7" i="6"/>
  <c r="E7" i="6"/>
  <c r="F6" i="6"/>
  <c r="E6" i="6"/>
  <c r="F5" i="6"/>
  <c r="E5" i="6" s="1"/>
  <c r="S4" i="6"/>
  <c r="R4" i="6"/>
  <c r="Q4" i="6"/>
  <c r="P4" i="6" s="1"/>
  <c r="O4" i="6"/>
  <c r="T4" i="6" s="1"/>
  <c r="F4" i="6"/>
  <c r="E4" i="6"/>
  <c r="R3" i="6"/>
  <c r="R5" i="6" s="1"/>
  <c r="Q3" i="6"/>
  <c r="P3" i="6" s="1"/>
  <c r="T3" i="6" s="1"/>
  <c r="O3" i="6"/>
  <c r="J43" i="5"/>
  <c r="K43" i="5" s="1"/>
  <c r="O5" i="5" s="1"/>
  <c r="L41" i="5"/>
  <c r="K41" i="5"/>
  <c r="J41" i="5"/>
  <c r="F35" i="5"/>
  <c r="D35" i="5"/>
  <c r="S3" i="5" s="1"/>
  <c r="S5" i="5" s="1"/>
  <c r="E34" i="5"/>
  <c r="E33" i="5"/>
  <c r="E32" i="5"/>
  <c r="E31" i="5"/>
  <c r="E35" i="5" s="1"/>
  <c r="E30" i="5"/>
  <c r="L29" i="5"/>
  <c r="K29" i="5"/>
  <c r="J29" i="5"/>
  <c r="E29" i="5"/>
  <c r="E28" i="5"/>
  <c r="E27" i="5"/>
  <c r="E26" i="5"/>
  <c r="E25" i="5"/>
  <c r="F21" i="5"/>
  <c r="D21" i="5"/>
  <c r="R3" i="5" s="1"/>
  <c r="O20" i="5"/>
  <c r="E20" i="5"/>
  <c r="O19" i="5"/>
  <c r="E19" i="5"/>
  <c r="E21" i="5" s="1"/>
  <c r="E18" i="5"/>
  <c r="Q17" i="5"/>
  <c r="O17" i="5"/>
  <c r="L17" i="5"/>
  <c r="K17" i="5"/>
  <c r="J17" i="5"/>
  <c r="D14" i="5"/>
  <c r="I43" i="5" s="1"/>
  <c r="F13" i="5"/>
  <c r="E13" i="5"/>
  <c r="E12" i="5"/>
  <c r="E11" i="5"/>
  <c r="P10" i="5"/>
  <c r="E10" i="5"/>
  <c r="P9" i="5"/>
  <c r="F9" i="5"/>
  <c r="E9" i="5"/>
  <c r="P8" i="5"/>
  <c r="P11" i="5" s="1"/>
  <c r="E8" i="5"/>
  <c r="F7" i="5"/>
  <c r="E7" i="5" s="1"/>
  <c r="F6" i="5"/>
  <c r="E6" i="5" s="1"/>
  <c r="F5" i="5"/>
  <c r="E5" i="5" s="1"/>
  <c r="S4" i="5"/>
  <c r="R4" i="5"/>
  <c r="Q4" i="5"/>
  <c r="P4" i="5" s="1"/>
  <c r="T4" i="5" s="1"/>
  <c r="E4" i="5"/>
  <c r="Q3" i="5"/>
  <c r="O3" i="5"/>
  <c r="L41" i="4"/>
  <c r="K41" i="4"/>
  <c r="J41" i="4"/>
  <c r="F35" i="4"/>
  <c r="D35" i="4"/>
  <c r="E34" i="4"/>
  <c r="E33" i="4"/>
  <c r="E32" i="4"/>
  <c r="E31" i="4"/>
  <c r="E30" i="4"/>
  <c r="L29" i="4"/>
  <c r="K29" i="4"/>
  <c r="J29" i="4"/>
  <c r="R4" i="4" s="1"/>
  <c r="R5" i="4" s="1"/>
  <c r="E29" i="4"/>
  <c r="E28" i="4"/>
  <c r="E27" i="4"/>
  <c r="E26" i="4"/>
  <c r="E35" i="4" s="1"/>
  <c r="D37" i="4" s="1"/>
  <c r="E39" i="4" s="1"/>
  <c r="F21" i="4"/>
  <c r="D21" i="4"/>
  <c r="R3" i="4" s="1"/>
  <c r="E20" i="4"/>
  <c r="E19" i="4"/>
  <c r="E18" i="4"/>
  <c r="E21" i="4" s="1"/>
  <c r="Q17" i="4"/>
  <c r="O17" i="4"/>
  <c r="L17" i="4"/>
  <c r="K17" i="4"/>
  <c r="J17" i="4"/>
  <c r="Q4" i="4" s="1"/>
  <c r="D14" i="4"/>
  <c r="Q3" i="4" s="1"/>
  <c r="E13" i="4"/>
  <c r="E12" i="4"/>
  <c r="P11" i="4"/>
  <c r="E11" i="4"/>
  <c r="P10" i="4"/>
  <c r="E10" i="4"/>
  <c r="P9" i="4"/>
  <c r="F9" i="4"/>
  <c r="E9" i="4" s="1"/>
  <c r="P8" i="4"/>
  <c r="E8" i="4"/>
  <c r="F7" i="4"/>
  <c r="E7" i="4"/>
  <c r="F6" i="4"/>
  <c r="E6" i="4"/>
  <c r="E14" i="4" s="1"/>
  <c r="E5" i="4"/>
  <c r="E4" i="4"/>
  <c r="S3" i="4"/>
  <c r="L41" i="3"/>
  <c r="K41" i="3"/>
  <c r="J41" i="3"/>
  <c r="J43" i="3" s="1"/>
  <c r="D35" i="3"/>
  <c r="S3" i="3" s="1"/>
  <c r="E34" i="3"/>
  <c r="E33" i="3"/>
  <c r="E32" i="3"/>
  <c r="E31" i="3"/>
  <c r="E30" i="3"/>
  <c r="L29" i="3"/>
  <c r="K29" i="3"/>
  <c r="J29" i="3"/>
  <c r="E29" i="3"/>
  <c r="E28" i="3"/>
  <c r="E27" i="3"/>
  <c r="E26" i="3"/>
  <c r="F25" i="3"/>
  <c r="F35" i="3" s="1"/>
  <c r="F21" i="3"/>
  <c r="D21" i="3"/>
  <c r="R3" i="3" s="1"/>
  <c r="R5" i="3" s="1"/>
  <c r="E20" i="3"/>
  <c r="E19" i="3"/>
  <c r="E18" i="3"/>
  <c r="Q17" i="3"/>
  <c r="O17" i="3"/>
  <c r="L17" i="3"/>
  <c r="K17" i="3"/>
  <c r="J17" i="3"/>
  <c r="Q4" i="3" s="1"/>
  <c r="F13" i="3"/>
  <c r="E13" i="3"/>
  <c r="E12" i="3"/>
  <c r="E11" i="3"/>
  <c r="P10" i="3"/>
  <c r="E10" i="3"/>
  <c r="P9" i="3"/>
  <c r="F9" i="3"/>
  <c r="E9" i="3"/>
  <c r="P8" i="3"/>
  <c r="D8" i="3"/>
  <c r="E8" i="3" s="1"/>
  <c r="J7" i="3"/>
  <c r="F7" i="3"/>
  <c r="E7" i="3"/>
  <c r="F6" i="3"/>
  <c r="E6" i="3"/>
  <c r="E5" i="3"/>
  <c r="R4" i="3"/>
  <c r="O4" i="3"/>
  <c r="E4" i="3"/>
  <c r="E14" i="3" s="1"/>
  <c r="F45" i="2"/>
  <c r="L41" i="2"/>
  <c r="K41" i="2"/>
  <c r="J41" i="2"/>
  <c r="S4" i="2" s="1"/>
  <c r="E37" i="2"/>
  <c r="D35" i="2"/>
  <c r="E34" i="2"/>
  <c r="E33" i="2"/>
  <c r="E32" i="2"/>
  <c r="E31" i="2"/>
  <c r="E30" i="2"/>
  <c r="L29" i="2"/>
  <c r="K29" i="2"/>
  <c r="J29" i="2"/>
  <c r="R4" i="2" s="1"/>
  <c r="E29" i="2"/>
  <c r="E28" i="2"/>
  <c r="E27" i="2"/>
  <c r="E26" i="2"/>
  <c r="F25" i="2"/>
  <c r="F21" i="2"/>
  <c r="D21" i="2"/>
  <c r="E20" i="2"/>
  <c r="E19" i="2"/>
  <c r="E18" i="2"/>
  <c r="E21" i="2" s="1"/>
  <c r="Q17" i="2"/>
  <c r="O17" i="2"/>
  <c r="L17" i="2"/>
  <c r="K17" i="2"/>
  <c r="J17" i="2"/>
  <c r="J43" i="2" s="1"/>
  <c r="K43" i="2" s="1"/>
  <c r="O5" i="2" s="1"/>
  <c r="D14" i="2"/>
  <c r="I43" i="2" s="1"/>
  <c r="F13" i="2"/>
  <c r="E13" i="2"/>
  <c r="E12" i="2"/>
  <c r="E11" i="2"/>
  <c r="P10" i="2"/>
  <c r="E10" i="2"/>
  <c r="P9" i="2"/>
  <c r="F9" i="2"/>
  <c r="E9" i="2"/>
  <c r="P8" i="2"/>
  <c r="P11" i="2" s="1"/>
  <c r="E8" i="2"/>
  <c r="F7" i="2"/>
  <c r="E7" i="2"/>
  <c r="F6" i="2"/>
  <c r="E6" i="2" s="1"/>
  <c r="S5" i="2"/>
  <c r="R5" i="2"/>
  <c r="E5" i="2"/>
  <c r="O4" i="2"/>
  <c r="E4" i="2"/>
  <c r="E14" i="2" s="1"/>
  <c r="S3" i="2"/>
  <c r="R3" i="2"/>
  <c r="Q3" i="2"/>
  <c r="P3" i="2"/>
  <c r="T3" i="2" s="1"/>
  <c r="J43" i="1"/>
  <c r="L41" i="1"/>
  <c r="K41" i="1"/>
  <c r="J41" i="1"/>
  <c r="E37" i="1"/>
  <c r="F35" i="1"/>
  <c r="D35" i="1"/>
  <c r="S3" i="1" s="1"/>
  <c r="S5" i="1" s="1"/>
  <c r="E34" i="1"/>
  <c r="E33" i="1"/>
  <c r="E32" i="1"/>
  <c r="E31" i="1"/>
  <c r="E30" i="1"/>
  <c r="L29" i="1"/>
  <c r="K29" i="1"/>
  <c r="J29" i="1"/>
  <c r="E29" i="1"/>
  <c r="E28" i="1"/>
  <c r="E27" i="1"/>
  <c r="E26" i="1"/>
  <c r="E25" i="1"/>
  <c r="E35" i="1" s="1"/>
  <c r="D21" i="1"/>
  <c r="R3" i="1" s="1"/>
  <c r="P3" i="1" s="1"/>
  <c r="T3" i="1" s="1"/>
  <c r="E20" i="1"/>
  <c r="E18" i="1"/>
  <c r="L17" i="1"/>
  <c r="K17" i="1"/>
  <c r="J17" i="1"/>
  <c r="D14" i="1"/>
  <c r="I43" i="1" s="1"/>
  <c r="F13" i="1"/>
  <c r="E13" i="1"/>
  <c r="E12" i="1"/>
  <c r="P11" i="1"/>
  <c r="E11" i="1"/>
  <c r="E10" i="1"/>
  <c r="E9" i="1"/>
  <c r="E8" i="1"/>
  <c r="E7" i="1"/>
  <c r="E6" i="1"/>
  <c r="R5" i="1"/>
  <c r="E5" i="1"/>
  <c r="T4" i="1"/>
  <c r="S4" i="1"/>
  <c r="R4" i="1"/>
  <c r="Q4" i="1"/>
  <c r="P4" i="1" s="1"/>
  <c r="O4" i="1"/>
  <c r="E4" i="1"/>
  <c r="Q3" i="1"/>
  <c r="E21" i="32" l="1"/>
  <c r="S5" i="32"/>
  <c r="I43" i="32"/>
  <c r="E19" i="1"/>
  <c r="E21" i="1"/>
  <c r="P4" i="32"/>
  <c r="T4" i="32" s="1"/>
  <c r="R5" i="32"/>
  <c r="J43" i="32"/>
  <c r="K43" i="32" s="1"/>
  <c r="O5" i="32" s="1"/>
  <c r="E35" i="32"/>
  <c r="E14" i="32"/>
  <c r="Q3" i="32"/>
  <c r="S5" i="12"/>
  <c r="P3" i="12"/>
  <c r="T3" i="12" s="1"/>
  <c r="J17" i="20"/>
  <c r="E37" i="11"/>
  <c r="E39" i="11" s="1"/>
  <c r="D25" i="22"/>
  <c r="K21" i="22"/>
  <c r="Q5" i="4"/>
  <c r="P3" i="4"/>
  <c r="T3" i="4" s="1"/>
  <c r="P4" i="7"/>
  <c r="R5" i="7"/>
  <c r="P5" i="12"/>
  <c r="P5" i="17"/>
  <c r="D17" i="19"/>
  <c r="D40" i="19" s="1"/>
  <c r="K25" i="23"/>
  <c r="R4" i="7"/>
  <c r="J43" i="7"/>
  <c r="P3" i="15"/>
  <c r="T3" i="15" s="1"/>
  <c r="Q5" i="2"/>
  <c r="P5" i="2" s="1"/>
  <c r="E14" i="8"/>
  <c r="J43" i="8"/>
  <c r="J43" i="10"/>
  <c r="K43" i="10" s="1"/>
  <c r="O5" i="10" s="1"/>
  <c r="F14" i="12"/>
  <c r="P4" i="12"/>
  <c r="T4" i="12" s="1"/>
  <c r="P3" i="14"/>
  <c r="T3" i="14" s="1"/>
  <c r="R5" i="14"/>
  <c r="P5" i="14" s="1"/>
  <c r="R5" i="15"/>
  <c r="P5" i="15" s="1"/>
  <c r="E35" i="16"/>
  <c r="E37" i="16" s="1"/>
  <c r="E39" i="16" s="1"/>
  <c r="J25" i="24"/>
  <c r="K23" i="24"/>
  <c r="E14" i="6"/>
  <c r="E7" i="9"/>
  <c r="E14" i="9" s="1"/>
  <c r="E25" i="14"/>
  <c r="E35" i="14" s="1"/>
  <c r="F35" i="14"/>
  <c r="E4" i="15"/>
  <c r="E14" i="15" s="1"/>
  <c r="E37" i="15" s="1"/>
  <c r="E39" i="15" s="1"/>
  <c r="P4" i="16"/>
  <c r="T4" i="16" s="1"/>
  <c r="D17" i="20"/>
  <c r="D40" i="20" s="1"/>
  <c r="I39" i="21"/>
  <c r="O4" i="21"/>
  <c r="D25" i="21"/>
  <c r="K25" i="21" s="1"/>
  <c r="D17" i="23"/>
  <c r="D37" i="23" s="1"/>
  <c r="I43" i="8"/>
  <c r="Q3" i="8"/>
  <c r="Q3" i="9"/>
  <c r="F35" i="10"/>
  <c r="E25" i="10"/>
  <c r="E35" i="10" s="1"/>
  <c r="E25" i="11"/>
  <c r="E35" i="11" s="1"/>
  <c r="F35" i="11"/>
  <c r="K35" i="21"/>
  <c r="J29" i="21"/>
  <c r="J35" i="21" s="1"/>
  <c r="J15" i="21"/>
  <c r="J17" i="21" s="1"/>
  <c r="J39" i="21" s="1"/>
  <c r="E14" i="7"/>
  <c r="T4" i="2"/>
  <c r="R5" i="5"/>
  <c r="P3" i="5"/>
  <c r="T3" i="5" s="1"/>
  <c r="T4" i="7"/>
  <c r="F14" i="8"/>
  <c r="R5" i="11"/>
  <c r="E21" i="12"/>
  <c r="E37" i="12" s="1"/>
  <c r="E39" i="12" s="1"/>
  <c r="P4" i="14"/>
  <c r="T4" i="14" s="1"/>
  <c r="I25" i="25"/>
  <c r="N6" i="31"/>
  <c r="N7" i="31" s="1"/>
  <c r="J3" i="23"/>
  <c r="J17" i="23" s="1"/>
  <c r="J37" i="23" s="1"/>
  <c r="K17" i="23"/>
  <c r="C40" i="20"/>
  <c r="N6" i="20" s="1"/>
  <c r="I25" i="21"/>
  <c r="I23" i="22"/>
  <c r="K23" i="22" s="1"/>
  <c r="J25" i="22"/>
  <c r="K39" i="22" s="1"/>
  <c r="Q5" i="25"/>
  <c r="J25" i="23"/>
  <c r="D25" i="24"/>
  <c r="K25" i="24" s="1"/>
  <c r="N6" i="28"/>
  <c r="I43" i="4"/>
  <c r="Q4" i="2"/>
  <c r="P4" i="2" s="1"/>
  <c r="F35" i="2"/>
  <c r="E25" i="2"/>
  <c r="E35" i="2" s="1"/>
  <c r="D37" i="2" s="1"/>
  <c r="E39" i="2"/>
  <c r="D14" i="3"/>
  <c r="S5" i="6"/>
  <c r="F35" i="7"/>
  <c r="I43" i="10"/>
  <c r="Q3" i="10"/>
  <c r="P4" i="17"/>
  <c r="T4" i="17" s="1"/>
  <c r="I24" i="20"/>
  <c r="K24" i="20" s="1"/>
  <c r="E25" i="24"/>
  <c r="E37" i="24" s="1"/>
  <c r="F14" i="10"/>
  <c r="F21" i="10" s="1"/>
  <c r="N6" i="29"/>
  <c r="E35" i="6"/>
  <c r="D37" i="6" s="1"/>
  <c r="E39" i="6" s="1"/>
  <c r="E41" i="6" s="1"/>
  <c r="E35" i="12"/>
  <c r="K38" i="20"/>
  <c r="K42" i="20" s="1"/>
  <c r="E17" i="22"/>
  <c r="I25" i="24"/>
  <c r="P4" i="8"/>
  <c r="T4" i="8" s="1"/>
  <c r="K21" i="25"/>
  <c r="D25" i="25"/>
  <c r="K25" i="25" s="1"/>
  <c r="E14" i="1"/>
  <c r="D37" i="1" s="1"/>
  <c r="E39" i="1" s="1"/>
  <c r="Q5" i="5"/>
  <c r="P5" i="5" s="1"/>
  <c r="Q5" i="6"/>
  <c r="P5" i="6" s="1"/>
  <c r="S5" i="8"/>
  <c r="R5" i="13"/>
  <c r="D8" i="19"/>
  <c r="D25" i="20"/>
  <c r="E25" i="20"/>
  <c r="E40" i="20" s="1"/>
  <c r="J25" i="21"/>
  <c r="K39" i="21" s="1"/>
  <c r="I39" i="22"/>
  <c r="O4" i="22"/>
  <c r="O5" i="22" s="1"/>
  <c r="Q5" i="22" s="1"/>
  <c r="J17" i="24"/>
  <c r="J29" i="24"/>
  <c r="J33" i="24" s="1"/>
  <c r="K33" i="24"/>
  <c r="K37" i="24" s="1"/>
  <c r="D17" i="25"/>
  <c r="D37" i="25" s="1"/>
  <c r="E35" i="7"/>
  <c r="Q5" i="1"/>
  <c r="P5" i="1" s="1"/>
  <c r="J43" i="4"/>
  <c r="K43" i="4" s="1"/>
  <c r="O5" i="4" s="1"/>
  <c r="P11" i="8"/>
  <c r="E21" i="8"/>
  <c r="D37" i="8" s="1"/>
  <c r="E39" i="8" s="1"/>
  <c r="S5" i="10"/>
  <c r="I43" i="13"/>
  <c r="K43" i="13" s="1"/>
  <c r="O5" i="13" s="1"/>
  <c r="Q3" i="13"/>
  <c r="E18" i="13"/>
  <c r="E21" i="13" s="1"/>
  <c r="F14" i="17"/>
  <c r="E25" i="22"/>
  <c r="K21" i="24"/>
  <c r="K17" i="25"/>
  <c r="K37" i="25" s="1"/>
  <c r="E14" i="5"/>
  <c r="D37" i="5" s="1"/>
  <c r="E39" i="5" s="1"/>
  <c r="K43" i="9"/>
  <c r="O5" i="9" s="1"/>
  <c r="E14" i="13"/>
  <c r="E37" i="13" s="1"/>
  <c r="E39" i="13" s="1"/>
  <c r="R5" i="16"/>
  <c r="N7" i="19"/>
  <c r="N6" i="19"/>
  <c r="K21" i="20"/>
  <c r="J38" i="20"/>
  <c r="D6" i="21"/>
  <c r="D17" i="21" s="1"/>
  <c r="C17" i="21"/>
  <c r="N6" i="22"/>
  <c r="P5" i="24"/>
  <c r="Q5" i="24" s="1"/>
  <c r="S4" i="3"/>
  <c r="P4" i="3" s="1"/>
  <c r="T4" i="3" s="1"/>
  <c r="I43" i="7"/>
  <c r="Q3" i="7"/>
  <c r="K43" i="1"/>
  <c r="O5" i="1" s="1"/>
  <c r="P11" i="3"/>
  <c r="E21" i="3"/>
  <c r="R5" i="8"/>
  <c r="E35" i="9"/>
  <c r="E14" i="10"/>
  <c r="J43" i="11"/>
  <c r="K43" i="11" s="1"/>
  <c r="O5" i="11" s="1"/>
  <c r="S4" i="11"/>
  <c r="P4" i="11" s="1"/>
  <c r="T4" i="11" s="1"/>
  <c r="I43" i="12"/>
  <c r="K43" i="12" s="1"/>
  <c r="O5" i="12" s="1"/>
  <c r="E19" i="14"/>
  <c r="E21" i="14" s="1"/>
  <c r="E37" i="14" s="1"/>
  <c r="E39" i="14" s="1"/>
  <c r="F21" i="14"/>
  <c r="D33" i="20"/>
  <c r="D25" i="19"/>
  <c r="K21" i="19"/>
  <c r="J38" i="19"/>
  <c r="K22" i="20"/>
  <c r="K24" i="21"/>
  <c r="I25" i="22"/>
  <c r="K35" i="22"/>
  <c r="J29" i="22"/>
  <c r="J35" i="22" s="1"/>
  <c r="J15" i="22"/>
  <c r="J17" i="22" s="1"/>
  <c r="J39" i="22" s="1"/>
  <c r="D6" i="23"/>
  <c r="K23" i="23"/>
  <c r="K24" i="25"/>
  <c r="E4" i="26"/>
  <c r="N6" i="26" s="1"/>
  <c r="E25" i="3"/>
  <c r="E35" i="3" s="1"/>
  <c r="J15" i="20"/>
  <c r="D8" i="22"/>
  <c r="D17" i="22" s="1"/>
  <c r="D37" i="22" s="1"/>
  <c r="D6" i="24"/>
  <c r="D17" i="24" s="1"/>
  <c r="D37" i="24" s="1"/>
  <c r="J3" i="25"/>
  <c r="J17" i="25" s="1"/>
  <c r="J37" i="25" s="1"/>
  <c r="Q3" i="16"/>
  <c r="I22" i="19"/>
  <c r="K22" i="19" s="1"/>
  <c r="E17" i="25"/>
  <c r="E37" i="25" s="1"/>
  <c r="S4" i="4"/>
  <c r="S5" i="4" s="1"/>
  <c r="O3" i="25"/>
  <c r="O5" i="25" s="1"/>
  <c r="D37" i="32" l="1"/>
  <c r="E39" i="32" s="1"/>
  <c r="P3" i="32"/>
  <c r="T3" i="32" s="1"/>
  <c r="Q5" i="32"/>
  <c r="P5" i="32" s="1"/>
  <c r="P3" i="8"/>
  <c r="T3" i="8" s="1"/>
  <c r="Q5" i="8"/>
  <c r="P5" i="8" s="1"/>
  <c r="D37" i="7"/>
  <c r="E39" i="7" s="1"/>
  <c r="S5" i="11"/>
  <c r="P5" i="11" s="1"/>
  <c r="P3" i="16"/>
  <c r="T3" i="16" s="1"/>
  <c r="Q5" i="16"/>
  <c r="P5" i="16" s="1"/>
  <c r="J37" i="24"/>
  <c r="I25" i="20"/>
  <c r="J42" i="20" s="1"/>
  <c r="K43" i="8"/>
  <c r="O5" i="8" s="1"/>
  <c r="D37" i="21"/>
  <c r="K37" i="23"/>
  <c r="S5" i="3"/>
  <c r="Q5" i="13"/>
  <c r="P5" i="13" s="1"/>
  <c r="P3" i="13"/>
  <c r="T3" i="13" s="1"/>
  <c r="Q3" i="3"/>
  <c r="I43" i="3"/>
  <c r="K43" i="3" s="1"/>
  <c r="O5" i="3" s="1"/>
  <c r="Q5" i="7"/>
  <c r="P5" i="7" s="1"/>
  <c r="P3" i="7"/>
  <c r="T3" i="7" s="1"/>
  <c r="K25" i="19"/>
  <c r="P5" i="4"/>
  <c r="Q5" i="10"/>
  <c r="P5" i="10" s="1"/>
  <c r="P3" i="10"/>
  <c r="T3" i="10" s="1"/>
  <c r="E37" i="22"/>
  <c r="D37" i="10"/>
  <c r="E39" i="10" s="1"/>
  <c r="K43" i="7"/>
  <c r="O5" i="7" s="1"/>
  <c r="P4" i="4"/>
  <c r="T4" i="4" s="1"/>
  <c r="O3" i="21"/>
  <c r="O5" i="21" s="1"/>
  <c r="Q5" i="21" s="1"/>
  <c r="C37" i="21"/>
  <c r="N6" i="21" s="1"/>
  <c r="D37" i="3"/>
  <c r="E39" i="3" s="1"/>
  <c r="D37" i="9"/>
  <c r="E39" i="9" s="1"/>
  <c r="I25" i="19"/>
  <c r="J42" i="19" s="1"/>
  <c r="K25" i="22"/>
  <c r="Q5" i="9"/>
  <c r="P5" i="9" s="1"/>
  <c r="P3" i="9"/>
  <c r="T3" i="9" s="1"/>
  <c r="K25" i="20" l="1"/>
  <c r="Q5" i="3"/>
  <c r="P5" i="3" s="1"/>
  <c r="P3" i="3"/>
  <c r="T3" i="3" s="1"/>
</calcChain>
</file>

<file path=xl/sharedStrings.xml><?xml version="1.0" encoding="utf-8"?>
<sst xmlns="http://schemas.openxmlformats.org/spreadsheetml/2006/main" count="3533" uniqueCount="376">
  <si>
    <t>\</t>
  </si>
  <si>
    <t>Koszty stałe Damian</t>
  </si>
  <si>
    <t>Koszty stałe Malwina</t>
  </si>
  <si>
    <t>Kolumna nr 1</t>
  </si>
  <si>
    <t>Wypłaty</t>
  </si>
  <si>
    <t>Suma</t>
  </si>
  <si>
    <t>Koszty stałe</t>
  </si>
  <si>
    <t>Koszty dyn.</t>
  </si>
  <si>
    <t>Pozostałe</t>
  </si>
  <si>
    <t>Podsumowanie</t>
  </si>
  <si>
    <t>Rodzaj</t>
  </si>
  <si>
    <t>Budżet</t>
  </si>
  <si>
    <t>Pozostało</t>
  </si>
  <si>
    <t>Wydano</t>
  </si>
  <si>
    <t>Damian</t>
  </si>
  <si>
    <t>internet</t>
  </si>
  <si>
    <t>rata</t>
  </si>
  <si>
    <t>Malwina</t>
  </si>
  <si>
    <t>telefon</t>
  </si>
  <si>
    <t>woda</t>
  </si>
  <si>
    <t>paliwo</t>
  </si>
  <si>
    <t>jedzenie</t>
  </si>
  <si>
    <t>smieci</t>
  </si>
  <si>
    <t>Oszczędnościowe</t>
  </si>
  <si>
    <t>Gaz</t>
  </si>
  <si>
    <t>izba</t>
  </si>
  <si>
    <t>PEKAO</t>
  </si>
  <si>
    <t>DOM</t>
  </si>
  <si>
    <t>po II</t>
  </si>
  <si>
    <t>rozne</t>
  </si>
  <si>
    <t>lekarz</t>
  </si>
  <si>
    <t>NEW CAR</t>
  </si>
  <si>
    <t>po III</t>
  </si>
  <si>
    <t>auto</t>
  </si>
  <si>
    <t>chemia</t>
  </si>
  <si>
    <t>GAZ</t>
  </si>
  <si>
    <t>fryzjer</t>
  </si>
  <si>
    <t>mieszkanie</t>
  </si>
  <si>
    <t>auto new</t>
  </si>
  <si>
    <t>swieta</t>
  </si>
  <si>
    <t>Kieszkonkowe D</t>
  </si>
  <si>
    <t>RAZEM</t>
  </si>
  <si>
    <t>koszty roczne</t>
  </si>
  <si>
    <t>poduszka mbank</t>
  </si>
  <si>
    <t>konkursy</t>
  </si>
  <si>
    <t>Koszty dynamiczne Damian</t>
  </si>
  <si>
    <t>Kieszkonkowe M</t>
  </si>
  <si>
    <t>Poduszka finansowa</t>
  </si>
  <si>
    <t>Dom</t>
  </si>
  <si>
    <t>Koszty dynamiczne Malwina</t>
  </si>
  <si>
    <t>Tv</t>
  </si>
  <si>
    <t>Przedszkole</t>
  </si>
  <si>
    <t>Dzieci</t>
  </si>
  <si>
    <t>Pozostałe Damian</t>
  </si>
  <si>
    <t>Apteka</t>
  </si>
  <si>
    <t>Urodziny dzieci</t>
  </si>
  <si>
    <t>Woda</t>
  </si>
  <si>
    <t xml:space="preserve">Maja lutcza </t>
  </si>
  <si>
    <t>Mama Bukiet</t>
  </si>
  <si>
    <t>Wakacje</t>
  </si>
  <si>
    <t>Ostrza</t>
  </si>
  <si>
    <t>Zabawowe</t>
  </si>
  <si>
    <t>Prąd</t>
  </si>
  <si>
    <t>Emerytura Rodziców</t>
  </si>
  <si>
    <t>Siłka</t>
  </si>
  <si>
    <t>ladowarka</t>
  </si>
  <si>
    <t>sylwek</t>
  </si>
  <si>
    <t>Pozostałe Malwina</t>
  </si>
  <si>
    <t>Mateusz</t>
  </si>
  <si>
    <t>Podatek</t>
  </si>
  <si>
    <t>youtube</t>
  </si>
  <si>
    <t>Czynsz Mieszkanie</t>
  </si>
  <si>
    <t>auto spłata</t>
  </si>
  <si>
    <t>Telefon</t>
  </si>
  <si>
    <t>pozostało II</t>
  </si>
  <si>
    <t>Sylwek + tv</t>
  </si>
  <si>
    <t>uro</t>
  </si>
  <si>
    <t>pozostało XI</t>
  </si>
  <si>
    <t>żel do mycia</t>
  </si>
  <si>
    <t>Total</t>
  </si>
  <si>
    <t>kawa praca</t>
  </si>
  <si>
    <t>pasta</t>
  </si>
  <si>
    <t>alko</t>
  </si>
  <si>
    <t>po XII</t>
  </si>
  <si>
    <t>Orawa Deca</t>
  </si>
  <si>
    <t>mama wojtek</t>
  </si>
  <si>
    <t>po I</t>
  </si>
  <si>
    <t>pozostało I</t>
  </si>
  <si>
    <t>allegro smart</t>
  </si>
  <si>
    <t>cookido</t>
  </si>
  <si>
    <t>URO BARTI</t>
  </si>
  <si>
    <t>Orawski</t>
  </si>
  <si>
    <t>premia</t>
  </si>
  <si>
    <t>Uro Nela</t>
  </si>
  <si>
    <t>dzin dziadkow</t>
  </si>
  <si>
    <t>do 07,01</t>
  </si>
  <si>
    <t>skarpetki jak zostanie  dopisane</t>
  </si>
  <si>
    <t>wyjazd</t>
  </si>
  <si>
    <t>Znicze</t>
  </si>
  <si>
    <t>pozostało XII</t>
  </si>
  <si>
    <t>po XI</t>
  </si>
  <si>
    <t>po X</t>
  </si>
  <si>
    <t>sanok</t>
  </si>
  <si>
    <t>50fryzjer</t>
  </si>
  <si>
    <t>M</t>
  </si>
  <si>
    <t>42elfi,punkt049-32</t>
  </si>
  <si>
    <t>25tort,zakupy52</t>
  </si>
  <si>
    <t>Szmatki</t>
  </si>
  <si>
    <t>kwiaty babcia 109</t>
  </si>
  <si>
    <t>Youtube</t>
  </si>
  <si>
    <t>260 + 50 = 310</t>
  </si>
  <si>
    <t>pierogi</t>
  </si>
  <si>
    <t>bilety</t>
  </si>
  <si>
    <t>uro barti</t>
  </si>
  <si>
    <t xml:space="preserve">hebda </t>
  </si>
  <si>
    <t xml:space="preserve">olinii </t>
  </si>
  <si>
    <t>puro Hania</t>
  </si>
  <si>
    <t>kwiaty babcia</t>
  </si>
  <si>
    <t>kaucja</t>
  </si>
  <si>
    <t>ksiazki</t>
  </si>
  <si>
    <t>uro tata</t>
  </si>
  <si>
    <t>Maja lutcza</t>
  </si>
  <si>
    <t>uro Amelka</t>
  </si>
  <si>
    <t>dlugi</t>
  </si>
  <si>
    <t>po VIII</t>
  </si>
  <si>
    <t>po IX</t>
  </si>
  <si>
    <t>po VII</t>
  </si>
  <si>
    <t>Sanok</t>
  </si>
  <si>
    <t>książki</t>
  </si>
  <si>
    <t>maliny</t>
  </si>
  <si>
    <t>rossman</t>
  </si>
  <si>
    <t>gumki</t>
  </si>
  <si>
    <t>ur o Barti</t>
  </si>
  <si>
    <t>uro Ignaś</t>
  </si>
  <si>
    <t>wesele</t>
  </si>
  <si>
    <t>ur taty</t>
  </si>
  <si>
    <t>Wojtek</t>
  </si>
  <si>
    <t>Truskawki</t>
  </si>
  <si>
    <t>mikolaj prezent</t>
  </si>
  <si>
    <t>manka</t>
  </si>
  <si>
    <t>Szczoteczki</t>
  </si>
  <si>
    <t>Gaja</t>
  </si>
  <si>
    <t>po VI</t>
  </si>
  <si>
    <t>Implant</t>
  </si>
  <si>
    <t>Eris</t>
  </si>
  <si>
    <t>Kwiaty</t>
  </si>
  <si>
    <t>Ogrody</t>
  </si>
  <si>
    <t>urodziny przedsz</t>
  </si>
  <si>
    <t>Olini</t>
  </si>
  <si>
    <t>revolut</t>
  </si>
  <si>
    <t>po IV</t>
  </si>
  <si>
    <t>DODAC 94,37</t>
  </si>
  <si>
    <t>Zaległości</t>
  </si>
  <si>
    <t>dudek</t>
  </si>
  <si>
    <t xml:space="preserve">Dzień dziadków </t>
  </si>
  <si>
    <t>Anglia</t>
  </si>
  <si>
    <t>wielkanoc</t>
  </si>
  <si>
    <t>Uro Mai</t>
  </si>
  <si>
    <t>prezent Olek</t>
  </si>
  <si>
    <t>tort</t>
  </si>
  <si>
    <t>po V</t>
  </si>
  <si>
    <t>oddaj 250 jeśli garnik dla J</t>
  </si>
  <si>
    <t xml:space="preserve"> słowacja</t>
  </si>
  <si>
    <t>Olej</t>
  </si>
  <si>
    <t>Gabi</t>
  </si>
  <si>
    <t>malwina +10zł</t>
  </si>
  <si>
    <t>Prezent Karola</t>
  </si>
  <si>
    <t>Cookido</t>
  </si>
  <si>
    <t>Mikołaj</t>
  </si>
  <si>
    <t>Wieniec</t>
  </si>
  <si>
    <t>fryz</t>
  </si>
  <si>
    <t>Bank</t>
  </si>
  <si>
    <t>Wypłata</t>
  </si>
  <si>
    <t>Jedzenie</t>
  </si>
  <si>
    <t>Dodatki</t>
  </si>
  <si>
    <t>pozostało</t>
  </si>
  <si>
    <t>Internet</t>
  </si>
  <si>
    <t>Rata</t>
  </si>
  <si>
    <t>Paliwo</t>
  </si>
  <si>
    <t>Śmieci</t>
  </si>
  <si>
    <t>SPRAWDZENIE</t>
  </si>
  <si>
    <t>Revolut</t>
  </si>
  <si>
    <t>Izba</t>
  </si>
  <si>
    <t>Różne</t>
  </si>
  <si>
    <t xml:space="preserve">Auto </t>
  </si>
  <si>
    <t xml:space="preserve">Chemia </t>
  </si>
  <si>
    <t>Mieszkanie</t>
  </si>
  <si>
    <t>Składki</t>
  </si>
  <si>
    <t xml:space="preserve">Fryzjer </t>
  </si>
  <si>
    <t>Święta</t>
  </si>
  <si>
    <t>naprawa Auta</t>
  </si>
  <si>
    <t>Koszty roczne</t>
  </si>
  <si>
    <t>Lekarz</t>
  </si>
  <si>
    <t>Fryjzer</t>
  </si>
  <si>
    <t xml:space="preserve">po sierpniu </t>
  </si>
  <si>
    <t>Euro Malwinka</t>
  </si>
  <si>
    <t>Jedzenie Damian</t>
  </si>
  <si>
    <t>Jedzenie Malwina</t>
  </si>
  <si>
    <t>POZOSTAŁO</t>
  </si>
  <si>
    <t>Tydzień 1</t>
  </si>
  <si>
    <t>Tydzień 2</t>
  </si>
  <si>
    <t>Tydzień 3</t>
  </si>
  <si>
    <t>Tydzień 4</t>
  </si>
  <si>
    <t>SUMA</t>
  </si>
  <si>
    <t>Dodatki Damian</t>
  </si>
  <si>
    <t>Dodatki Malwina</t>
  </si>
  <si>
    <t xml:space="preserve">prąd </t>
  </si>
  <si>
    <t xml:space="preserve">Kwiaty </t>
  </si>
  <si>
    <t>Kieszonkowe</t>
  </si>
  <si>
    <t>mikołaj</t>
  </si>
  <si>
    <t xml:space="preserve">podatek </t>
  </si>
  <si>
    <t xml:space="preserve">sylwek </t>
  </si>
  <si>
    <t>Konkursy</t>
  </si>
  <si>
    <t>eris</t>
  </si>
  <si>
    <t>lutcza</t>
  </si>
  <si>
    <t>implant</t>
  </si>
  <si>
    <t>Maja</t>
  </si>
  <si>
    <t>Suma całkowita Damian</t>
  </si>
  <si>
    <t>Suma całkowita Malwina</t>
  </si>
  <si>
    <t>1800 wioslarz</t>
  </si>
  <si>
    <t>pko</t>
  </si>
  <si>
    <t>tv</t>
  </si>
  <si>
    <t>po wrzesniu</t>
  </si>
  <si>
    <t>400oddac za naprawe</t>
  </si>
  <si>
    <t>netflix</t>
  </si>
  <si>
    <t>Opony</t>
  </si>
  <si>
    <t>Urodziny Barti</t>
  </si>
  <si>
    <t>miód</t>
  </si>
  <si>
    <t>wit</t>
  </si>
  <si>
    <t>zabawowe</t>
  </si>
  <si>
    <t>gratis dom</t>
  </si>
  <si>
    <t>zlobek</t>
  </si>
  <si>
    <t>badania</t>
  </si>
  <si>
    <t>Prezent rodzice</t>
  </si>
  <si>
    <t>prezent besko</t>
  </si>
  <si>
    <t>Podatek+ Maja+ kokosy + konkursy</t>
  </si>
  <si>
    <t>Foteliki</t>
  </si>
  <si>
    <t>Maliny</t>
  </si>
  <si>
    <t>Fryzjer</t>
  </si>
  <si>
    <t>Cinek</t>
  </si>
  <si>
    <t>po sierpniu</t>
  </si>
  <si>
    <t>Gumki 52</t>
  </si>
  <si>
    <t>Nadpłata K</t>
  </si>
  <si>
    <t>Kot</t>
  </si>
  <si>
    <t xml:space="preserve">Lekarz </t>
  </si>
  <si>
    <t>Karola</t>
  </si>
  <si>
    <t>zdj barti</t>
  </si>
  <si>
    <t>Oszczędności</t>
  </si>
  <si>
    <t>Lotto</t>
  </si>
  <si>
    <t>pokrowiec jajo</t>
  </si>
  <si>
    <t>reszta</t>
  </si>
  <si>
    <t>Rodzice</t>
  </si>
  <si>
    <t>26+58</t>
  </si>
  <si>
    <t>Dzień Mamy</t>
  </si>
  <si>
    <t>Osoba</t>
  </si>
  <si>
    <t>budżet</t>
  </si>
  <si>
    <t>wydano</t>
  </si>
  <si>
    <t>1 tydz</t>
  </si>
  <si>
    <t>2 tydz</t>
  </si>
  <si>
    <t>3 tydz</t>
  </si>
  <si>
    <t>4 tydz</t>
  </si>
  <si>
    <t>Koszty</t>
  </si>
  <si>
    <t>miesięczne</t>
  </si>
  <si>
    <t>Malwinka</t>
  </si>
  <si>
    <t>Mbank</t>
  </si>
  <si>
    <t xml:space="preserve">Finanse </t>
  </si>
  <si>
    <t>Początkowe</t>
  </si>
  <si>
    <t>Pekao</t>
  </si>
  <si>
    <t>Internety</t>
  </si>
  <si>
    <t>Razem</t>
  </si>
  <si>
    <t>Chemia</t>
  </si>
  <si>
    <t>Banki:</t>
  </si>
  <si>
    <t xml:space="preserve">formuły ile </t>
  </si>
  <si>
    <t>powinno</t>
  </si>
  <si>
    <t xml:space="preserve">być na </t>
  </si>
  <si>
    <t>koncie</t>
  </si>
  <si>
    <t>Pekao 2</t>
  </si>
  <si>
    <t>Gotówka</t>
  </si>
  <si>
    <t>Dług</t>
  </si>
  <si>
    <t>pełen stan</t>
  </si>
  <si>
    <t>Badania</t>
  </si>
  <si>
    <t>-</t>
  </si>
  <si>
    <t>Auto</t>
  </si>
  <si>
    <t>EXTRA</t>
  </si>
  <si>
    <t>Kolumna1</t>
  </si>
  <si>
    <t>Cookidoo</t>
  </si>
  <si>
    <t>200</t>
  </si>
  <si>
    <t>201</t>
  </si>
  <si>
    <t>podatek</t>
  </si>
  <si>
    <t>prezent lusi</t>
  </si>
  <si>
    <t>rev</t>
  </si>
  <si>
    <t xml:space="preserve">Damian </t>
  </si>
  <si>
    <t>kamis + myjnia</t>
  </si>
  <si>
    <t>auto przegl</t>
  </si>
  <si>
    <t>Kolumna2</t>
  </si>
  <si>
    <t>Kolumna3</t>
  </si>
  <si>
    <t>Kolumna4</t>
  </si>
  <si>
    <t>Kolumna5</t>
  </si>
  <si>
    <t>Kolumna6</t>
  </si>
  <si>
    <t>Kolumna7</t>
  </si>
  <si>
    <t>Kolumna8</t>
  </si>
  <si>
    <t>OBECNY</t>
  </si>
  <si>
    <t>TYDZIEŃ</t>
  </si>
  <si>
    <t>śniadanie</t>
  </si>
  <si>
    <t>link</t>
  </si>
  <si>
    <t>obiad</t>
  </si>
  <si>
    <t>kolacja/praca</t>
  </si>
  <si>
    <t>info dodatkowe</t>
  </si>
  <si>
    <t>Poniedziałek</t>
  </si>
  <si>
    <t>Wtorek</t>
  </si>
  <si>
    <t>Środa</t>
  </si>
  <si>
    <t>Czwartek</t>
  </si>
  <si>
    <t>Piątek</t>
  </si>
  <si>
    <t>Sobota</t>
  </si>
  <si>
    <t>Niedziela</t>
  </si>
  <si>
    <t>INSPIRACJE</t>
  </si>
  <si>
    <t>ZACHCIANKI</t>
  </si>
  <si>
    <t>PRZYSZŁY</t>
  </si>
  <si>
    <t xml:space="preserve"> TYDZIEŃ</t>
  </si>
  <si>
    <t>kanapki</t>
  </si>
  <si>
    <t>kurczak z dynia</t>
  </si>
  <si>
    <t>malinowy budyń</t>
  </si>
  <si>
    <t>https://www.kwestiasmaku.com/przepis/malinowy-budyn-jaglany</t>
  </si>
  <si>
    <t>dorsz</t>
  </si>
  <si>
    <t>ciabatta haloumi rukola</t>
  </si>
  <si>
    <t>TWÓJ PRZEPIS</t>
  </si>
  <si>
    <t>chinczyk z tofu</t>
  </si>
  <si>
    <t>placuszki z banana</t>
  </si>
  <si>
    <t>https://www.kwestiasmaku.com/przepis/placki-jogurtowe-z-bananem</t>
  </si>
  <si>
    <t>szynka z rekawa + ziemn</t>
  </si>
  <si>
    <t>tosty!</t>
  </si>
  <si>
    <t>kurczak z pieczarkami</t>
  </si>
  <si>
    <t xml:space="preserve">Ciabatta </t>
  </si>
  <si>
    <t>https://pysznieczyprzepysznie.pl/ciabatta-z-wloska-mozzarella-di-bufala-campana-dop-szynka-prosciutto-di-parma-dop-i-pieczonymi-pomidorkami/</t>
  </si>
  <si>
    <t xml:space="preserve">Makaron </t>
  </si>
  <si>
    <t>https://www.kwestiasmaku.com/przepis/makaron-z-kurczakiem-i-szpinakiem-w-sosie-curry</t>
  </si>
  <si>
    <t xml:space="preserve">Jaglanka </t>
  </si>
  <si>
    <t>https://www.kwestiasmaku.com/dania_dla_dwojga/sniadania/jaglanka_z_mlekiem_kokosowym_zurawina/przepis.html</t>
  </si>
  <si>
    <t xml:space="preserve">??? </t>
  </si>
  <si>
    <t xml:space="preserve">Kanapkk Hummus </t>
  </si>
  <si>
    <t>https://centrumrespo.pl/przepisy/kanapka-hummusem-warzywami/</t>
  </si>
  <si>
    <t xml:space="preserve">Spaghetti </t>
  </si>
  <si>
    <t xml:space="preserve">Insta tortilla </t>
  </si>
  <si>
    <t xml:space="preserve">Naleśniki </t>
  </si>
  <si>
    <t>https://www.fitczarodziejka.pl/przepis/orkiszowe-nalesniki-czekoladowe-z-ricotta-i-goracymi-malinami</t>
  </si>
  <si>
    <t xml:space="preserve">Sanok </t>
  </si>
  <si>
    <t xml:space="preserve">Leczo </t>
  </si>
  <si>
    <t xml:space="preserve">Tortille </t>
  </si>
  <si>
    <t>https://www.kwestiasmaku.com/przepis/wrapy-z-tortilli-z-hummusem-i-warzywami#google_vignette</t>
  </si>
  <si>
    <t xml:space="preserve">kurczak </t>
  </si>
  <si>
    <t xml:space="preserve">Cookido </t>
  </si>
  <si>
    <t xml:space="preserve">Kanapki </t>
  </si>
  <si>
    <t>https://www.kwestiasmaku.com/zielony_srodek/buraczki/kanapka_z_buraczkiem/przepis.html</t>
  </si>
  <si>
    <t xml:space="preserve">Dorsz </t>
  </si>
  <si>
    <t>https://www.kwestiasmaku.com/przepis/ryba-z-pieca-z-brokulami</t>
  </si>
  <si>
    <t xml:space="preserve">Placuszki </t>
  </si>
  <si>
    <t>https://alaantkoweblw.pl/blog/przepis/puszyste-placki-z-kaszy-manny-alaantkoweblw/</t>
  </si>
  <si>
    <t xml:space="preserve">Rosół i Klopsiki </t>
  </si>
  <si>
    <t xml:space="preserve">Insta choinka </t>
  </si>
  <si>
    <t>Komputer</t>
  </si>
  <si>
    <t>prezent</t>
  </si>
  <si>
    <t>Prezenty</t>
  </si>
  <si>
    <t>prezenty.</t>
  </si>
  <si>
    <t>kwota przed</t>
  </si>
  <si>
    <t>data wpłaty</t>
  </si>
  <si>
    <t>kwota po</t>
  </si>
  <si>
    <t>Pralnia</t>
  </si>
  <si>
    <t xml:space="preserve">Podatek </t>
  </si>
  <si>
    <t xml:space="preserve">Prąd </t>
  </si>
  <si>
    <t xml:space="preserve">olejki </t>
  </si>
  <si>
    <t>TV</t>
  </si>
  <si>
    <t>Dzień Babci</t>
  </si>
  <si>
    <t>Piloty brama</t>
  </si>
  <si>
    <t xml:space="preserve">mBank </t>
  </si>
  <si>
    <t>Wesele</t>
  </si>
  <si>
    <t>splata auta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</si>
</sst>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6" formatCode="#,##0\ &quot;zł&quot;;[Red]\-#,##0\ &quot;zł&quot;"/>
    <numFmt numFmtId="164" formatCode="#,##0\ &quot;zł&quot;"/>
    <numFmt numFmtId="165" formatCode="_-* #,##0\ &quot;zł&quot;_-;\-* #,##0\ &quot;zł&quot;_-;_-* &quot;-&quot;??\ &quot;zł&quot;_-;_-@"/>
    <numFmt numFmtId="166" formatCode="#,##0.00\ &quot;zł&quot;"/>
    <numFmt numFmtId="167" formatCode="_-* #,##0.00\ &quot;zł&quot;_-;\-* #,##0.00\ &quot;zł&quot;_-;_-* &quot;-&quot;??\ &quot;zł&quot;_-;_-@"/>
    <numFmt numFmtId="168" formatCode="mm\.dd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rgb="FF1F1F1F"/>
      <name val="Arial"/>
    </font>
    <font>
      <sz val="11"/>
      <color rgb="FF000000"/>
      <name val="Calibri"/>
    </font>
    <font>
      <u/>
      <sz val="11"/>
      <color theme="1"/>
      <name val="Calibri"/>
    </font>
    <font>
      <u/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  <fill>
      <patternFill patternType="solid">
        <fgColor rgb="FF00B050"/>
        <bgColor rgb="FF00B050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3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/>
    <xf numFmtId="2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3" fillId="0" borderId="4" xfId="0" applyFont="1" applyBorder="1"/>
    <xf numFmtId="0" fontId="1" fillId="0" borderId="5" xfId="0" applyFont="1" applyBorder="1"/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165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165" fontId="1" fillId="0" borderId="0" xfId="0" applyNumberFormat="1" applyFont="1"/>
    <xf numFmtId="166" fontId="1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4" borderId="12" xfId="0" applyNumberFormat="1" applyFont="1" applyFill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7" fontId="1" fillId="4" borderId="1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67" fontId="1" fillId="0" borderId="19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167" fontId="1" fillId="2" borderId="22" xfId="0" applyNumberFormat="1" applyFont="1" applyFill="1" applyBorder="1" applyAlignment="1">
      <alignment horizontal="center" vertical="center"/>
    </xf>
    <xf numFmtId="167" fontId="1" fillId="3" borderId="22" xfId="0" applyNumberFormat="1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167" fontId="1" fillId="7" borderId="23" xfId="0" applyNumberFormat="1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6" fillId="8" borderId="24" xfId="0" applyFont="1" applyFill="1" applyBorder="1" applyAlignment="1">
      <alignment horizontal="center"/>
    </xf>
    <xf numFmtId="0" fontId="1" fillId="8" borderId="25" xfId="0" applyFont="1" applyFill="1" applyBorder="1" applyAlignment="1">
      <alignment horizontal="center"/>
    </xf>
    <xf numFmtId="0" fontId="9" fillId="9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6" fillId="3" borderId="3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9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168" fontId="1" fillId="0" borderId="0" xfId="0" applyNumberFormat="1" applyFont="1" applyAlignment="1">
      <alignment horizontal="center"/>
    </xf>
    <xf numFmtId="168" fontId="1" fillId="0" borderId="30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1" fillId="2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3" fillId="3" borderId="8" xfId="0" applyFont="1" applyFill="1" applyBorder="1" applyAlignment="1">
      <alignment horizontal="center" vertical="center"/>
    </xf>
    <xf numFmtId="0" fontId="2" fillId="0" borderId="21" xfId="0" applyFont="1" applyBorder="1"/>
    <xf numFmtId="6" fontId="0" fillId="0" borderId="0" xfId="0" applyNumberFormat="1"/>
  </cellXfs>
  <cellStyles count="1">
    <cellStyle name="Normalny" xfId="0" builtinId="0"/>
  </cellStyles>
  <dxfs count="510"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none"/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FFE598"/>
          <bgColor rgb="FFFFE59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ECECEC"/>
          <bgColor rgb="FFECECEC"/>
        </patternFill>
      </fill>
    </dxf>
    <dxf>
      <fill>
        <patternFill patternType="solid">
          <fgColor rgb="FFDADADA"/>
          <bgColor rgb="FFDADADA"/>
        </patternFill>
      </fill>
    </dxf>
    <dxf>
      <fill>
        <patternFill patternType="solid">
          <fgColor theme="0"/>
          <bgColor theme="0"/>
        </patternFill>
      </fill>
    </dxf>
  </dxfs>
  <tableStyles count="212">
    <tableStyle name="Kwiecień26 - wydatki-style" pivot="0" count="3" xr9:uid="{00000000-0011-0000-FFFF-FFFF00000000}">
      <tableStyleElement type="headerRow" dxfId="509"/>
      <tableStyleElement type="firstRowStripe" dxfId="508"/>
      <tableStyleElement type="secondRowStripe" dxfId="507"/>
    </tableStyle>
    <tableStyle name="Kwiecień26 - wydatki-style 2" pivot="0" count="2" xr9:uid="{00000000-0011-0000-FFFF-FFFF01000000}">
      <tableStyleElement type="firstRowStripe" dxfId="506"/>
      <tableStyleElement type="secondRowStripe" dxfId="505"/>
    </tableStyle>
    <tableStyle name="Kwiecień26 - wydatki-style 3" pivot="0" count="2" xr9:uid="{00000000-0011-0000-FFFF-FFFF02000000}">
      <tableStyleElement type="firstRowStripe" dxfId="504"/>
      <tableStyleElement type="secondRowStripe" dxfId="503"/>
    </tableStyle>
    <tableStyle name="Kwiecień26 - wydatki-style 4" pivot="0" count="2" xr9:uid="{00000000-0011-0000-FFFF-FFFF03000000}">
      <tableStyleElement type="firstRowStripe" dxfId="502"/>
      <tableStyleElement type="secondRowStripe" dxfId="501"/>
    </tableStyle>
    <tableStyle name="Kwiecień26 - wydatki-style 5" pivot="0" count="2" xr9:uid="{00000000-0011-0000-FFFF-FFFF04000000}">
      <tableStyleElement type="firstRowStripe" dxfId="500"/>
      <tableStyleElement type="secondRowStripe" dxfId="499"/>
    </tableStyle>
    <tableStyle name="Kwiecień26 - wydatki-style 6" pivot="0" count="2" xr9:uid="{00000000-0011-0000-FFFF-FFFF05000000}">
      <tableStyleElement type="firstRowStripe" dxfId="498"/>
      <tableStyleElement type="secondRowStripe" dxfId="497"/>
    </tableStyle>
    <tableStyle name="Kwiecień26 - wydatki-style 7" pivot="0" count="2" xr9:uid="{00000000-0011-0000-FFFF-FFFF06000000}">
      <tableStyleElement type="firstRowStripe" dxfId="496"/>
      <tableStyleElement type="secondRowStripe" dxfId="495"/>
    </tableStyle>
    <tableStyle name="Marzec26 - wydatki-style" pivot="0" count="3" xr9:uid="{00000000-0011-0000-FFFF-FFFF07000000}">
      <tableStyleElement type="headerRow" dxfId="494"/>
      <tableStyleElement type="firstRowStripe" dxfId="493"/>
      <tableStyleElement type="secondRowStripe" dxfId="492"/>
    </tableStyle>
    <tableStyle name="Marzec26 - wydatki-style 2" pivot="0" count="2" xr9:uid="{00000000-0011-0000-FFFF-FFFF08000000}">
      <tableStyleElement type="firstRowStripe" dxfId="491"/>
      <tableStyleElement type="secondRowStripe" dxfId="490"/>
    </tableStyle>
    <tableStyle name="Marzec26 - wydatki-style 3" pivot="0" count="2" xr9:uid="{00000000-0011-0000-FFFF-FFFF09000000}">
      <tableStyleElement type="firstRowStripe" dxfId="489"/>
      <tableStyleElement type="secondRowStripe" dxfId="488"/>
    </tableStyle>
    <tableStyle name="Marzec26 - wydatki-style 4" pivot="0" count="2" xr9:uid="{00000000-0011-0000-FFFF-FFFF0A000000}">
      <tableStyleElement type="firstRowStripe" dxfId="487"/>
      <tableStyleElement type="secondRowStripe" dxfId="486"/>
    </tableStyle>
    <tableStyle name="Marzec26 - wydatki-style 5" pivot="0" count="2" xr9:uid="{00000000-0011-0000-FFFF-FFFF0B000000}">
      <tableStyleElement type="firstRowStripe" dxfId="485"/>
      <tableStyleElement type="secondRowStripe" dxfId="484"/>
    </tableStyle>
    <tableStyle name="Marzec26 - wydatki-style 6" pivot="0" count="2" xr9:uid="{00000000-0011-0000-FFFF-FFFF0C000000}">
      <tableStyleElement type="firstRowStripe" dxfId="483"/>
      <tableStyleElement type="secondRowStripe" dxfId="482"/>
    </tableStyle>
    <tableStyle name="Marzec26 - wydatki-style 7" pivot="0" count="2" xr9:uid="{00000000-0011-0000-FFFF-FFFF0D000000}">
      <tableStyleElement type="firstRowStripe" dxfId="481"/>
      <tableStyleElement type="secondRowStripe" dxfId="480"/>
    </tableStyle>
    <tableStyle name="Luty26 - wydatki-style" pivot="0" count="3" xr9:uid="{00000000-0011-0000-FFFF-FFFF0E000000}">
      <tableStyleElement type="headerRow" dxfId="479"/>
      <tableStyleElement type="firstRowStripe" dxfId="478"/>
      <tableStyleElement type="secondRowStripe" dxfId="477"/>
    </tableStyle>
    <tableStyle name="Luty26 - wydatki-style 2" pivot="0" count="2" xr9:uid="{00000000-0011-0000-FFFF-FFFF0F000000}">
      <tableStyleElement type="firstRowStripe" dxfId="476"/>
      <tableStyleElement type="secondRowStripe" dxfId="475"/>
    </tableStyle>
    <tableStyle name="Luty26 - wydatki-style 3" pivot="0" count="2" xr9:uid="{00000000-0011-0000-FFFF-FFFF10000000}">
      <tableStyleElement type="firstRowStripe" dxfId="474"/>
      <tableStyleElement type="secondRowStripe" dxfId="473"/>
    </tableStyle>
    <tableStyle name="Luty26 - wydatki-style 4" pivot="0" count="2" xr9:uid="{00000000-0011-0000-FFFF-FFFF11000000}">
      <tableStyleElement type="firstRowStripe" dxfId="472"/>
      <tableStyleElement type="secondRowStripe" dxfId="471"/>
    </tableStyle>
    <tableStyle name="Luty26 - wydatki-style 5" pivot="0" count="2" xr9:uid="{00000000-0011-0000-FFFF-FFFF12000000}">
      <tableStyleElement type="firstRowStripe" dxfId="470"/>
      <tableStyleElement type="secondRowStripe" dxfId="469"/>
    </tableStyle>
    <tableStyle name="Luty26 - wydatki-style 6" pivot="0" count="2" xr9:uid="{00000000-0011-0000-FFFF-FFFF13000000}">
      <tableStyleElement type="firstRowStripe" dxfId="468"/>
      <tableStyleElement type="secondRowStripe" dxfId="467"/>
    </tableStyle>
    <tableStyle name="Luty26 - wydatki-style 7" pivot="0" count="2" xr9:uid="{00000000-0011-0000-FFFF-FFFF14000000}">
      <tableStyleElement type="firstRowStripe" dxfId="466"/>
      <tableStyleElement type="secondRowStripe" dxfId="465"/>
    </tableStyle>
    <tableStyle name="Styczeń26 - wydatki-style" pivot="0" count="3" xr9:uid="{00000000-0011-0000-FFFF-FFFF15000000}">
      <tableStyleElement type="headerRow" dxfId="464"/>
      <tableStyleElement type="firstRowStripe" dxfId="463"/>
      <tableStyleElement type="secondRowStripe" dxfId="462"/>
    </tableStyle>
    <tableStyle name="Styczeń26 - wydatki-style 2" pivot="0" count="2" xr9:uid="{00000000-0011-0000-FFFF-FFFF16000000}">
      <tableStyleElement type="firstRowStripe" dxfId="461"/>
      <tableStyleElement type="secondRowStripe" dxfId="460"/>
    </tableStyle>
    <tableStyle name="Styczeń26 - wydatki-style 3" pivot="0" count="2" xr9:uid="{00000000-0011-0000-FFFF-FFFF17000000}">
      <tableStyleElement type="firstRowStripe" dxfId="459"/>
      <tableStyleElement type="secondRowStripe" dxfId="458"/>
    </tableStyle>
    <tableStyle name="Styczeń26 - wydatki-style 4" pivot="0" count="2" xr9:uid="{00000000-0011-0000-FFFF-FFFF18000000}">
      <tableStyleElement type="firstRowStripe" dxfId="457"/>
      <tableStyleElement type="secondRowStripe" dxfId="456"/>
    </tableStyle>
    <tableStyle name="Styczeń26 - wydatki-style 5" pivot="0" count="2" xr9:uid="{00000000-0011-0000-FFFF-FFFF19000000}">
      <tableStyleElement type="firstRowStripe" dxfId="455"/>
      <tableStyleElement type="secondRowStripe" dxfId="454"/>
    </tableStyle>
    <tableStyle name="Styczeń26 - wydatki-style 6" pivot="0" count="2" xr9:uid="{00000000-0011-0000-FFFF-FFFF1A000000}">
      <tableStyleElement type="firstRowStripe" dxfId="453"/>
      <tableStyleElement type="secondRowStripe" dxfId="452"/>
    </tableStyle>
    <tableStyle name="Styczeń26 - wydatki-style 7" pivot="0" count="2" xr9:uid="{00000000-0011-0000-FFFF-FFFF1B000000}">
      <tableStyleElement type="firstRowStripe" dxfId="451"/>
      <tableStyleElement type="secondRowStripe" dxfId="450"/>
    </tableStyle>
    <tableStyle name="Grudzień25- wydatki-style" pivot="0" count="3" xr9:uid="{00000000-0011-0000-FFFF-FFFF1C000000}">
      <tableStyleElement type="headerRow" dxfId="449"/>
      <tableStyleElement type="firstRowStripe" dxfId="448"/>
      <tableStyleElement type="secondRowStripe" dxfId="447"/>
    </tableStyle>
    <tableStyle name="Grudzień25- wydatki-style 2" pivot="0" count="2" xr9:uid="{00000000-0011-0000-FFFF-FFFF1D000000}">
      <tableStyleElement type="firstRowStripe" dxfId="446"/>
      <tableStyleElement type="secondRowStripe" dxfId="445"/>
    </tableStyle>
    <tableStyle name="Grudzień25- wydatki-style 3" pivot="0" count="2" xr9:uid="{00000000-0011-0000-FFFF-FFFF1E000000}">
      <tableStyleElement type="firstRowStripe" dxfId="444"/>
      <tableStyleElement type="secondRowStripe" dxfId="443"/>
    </tableStyle>
    <tableStyle name="Grudzień25- wydatki-style 4" pivot="0" count="2" xr9:uid="{00000000-0011-0000-FFFF-FFFF1F000000}">
      <tableStyleElement type="firstRowStripe" dxfId="442"/>
      <tableStyleElement type="secondRowStripe" dxfId="441"/>
    </tableStyle>
    <tableStyle name="Grudzień25- wydatki-style 5" pivot="0" count="2" xr9:uid="{00000000-0011-0000-FFFF-FFFF20000000}">
      <tableStyleElement type="firstRowStripe" dxfId="440"/>
      <tableStyleElement type="secondRowStripe" dxfId="439"/>
    </tableStyle>
    <tableStyle name="Grudzień25- wydatki-style 6" pivot="0" count="2" xr9:uid="{00000000-0011-0000-FFFF-FFFF21000000}">
      <tableStyleElement type="firstRowStripe" dxfId="438"/>
      <tableStyleElement type="secondRowStripe" dxfId="437"/>
    </tableStyle>
    <tableStyle name="Grudzień25- wydatki-style 7" pivot="0" count="2" xr9:uid="{00000000-0011-0000-FFFF-FFFF22000000}">
      <tableStyleElement type="firstRowStripe" dxfId="436"/>
      <tableStyleElement type="secondRowStripe" dxfId="435"/>
    </tableStyle>
    <tableStyle name="Listopad25- wydatki-style" pivot="0" count="3" xr9:uid="{00000000-0011-0000-FFFF-FFFF23000000}">
      <tableStyleElement type="headerRow" dxfId="434"/>
      <tableStyleElement type="firstRowStripe" dxfId="433"/>
      <tableStyleElement type="secondRowStripe" dxfId="432"/>
    </tableStyle>
    <tableStyle name="Listopad25- wydatki-style 2" pivot="0" count="2" xr9:uid="{00000000-0011-0000-FFFF-FFFF24000000}">
      <tableStyleElement type="firstRowStripe" dxfId="431"/>
      <tableStyleElement type="secondRowStripe" dxfId="430"/>
    </tableStyle>
    <tableStyle name="Listopad25- wydatki-style 3" pivot="0" count="2" xr9:uid="{00000000-0011-0000-FFFF-FFFF25000000}">
      <tableStyleElement type="firstRowStripe" dxfId="429"/>
      <tableStyleElement type="secondRowStripe" dxfId="428"/>
    </tableStyle>
    <tableStyle name="Listopad25- wydatki-style 4" pivot="0" count="2" xr9:uid="{00000000-0011-0000-FFFF-FFFF26000000}">
      <tableStyleElement type="firstRowStripe" dxfId="427"/>
      <tableStyleElement type="secondRowStripe" dxfId="426"/>
    </tableStyle>
    <tableStyle name="Listopad25- wydatki-style 5" pivot="0" count="2" xr9:uid="{00000000-0011-0000-FFFF-FFFF27000000}">
      <tableStyleElement type="firstRowStripe" dxfId="425"/>
      <tableStyleElement type="secondRowStripe" dxfId="424"/>
    </tableStyle>
    <tableStyle name="Listopad25- wydatki-style 6" pivot="0" count="2" xr9:uid="{00000000-0011-0000-FFFF-FFFF28000000}">
      <tableStyleElement type="firstRowStripe" dxfId="423"/>
      <tableStyleElement type="secondRowStripe" dxfId="422"/>
    </tableStyle>
    <tableStyle name="Listopad25- wydatki-style 7" pivot="0" count="2" xr9:uid="{00000000-0011-0000-FFFF-FFFF29000000}">
      <tableStyleElement type="firstRowStripe" dxfId="421"/>
      <tableStyleElement type="secondRowStripe" dxfId="420"/>
    </tableStyle>
    <tableStyle name="Październik25- wydatki-style" pivot="0" count="3" xr9:uid="{00000000-0011-0000-FFFF-FFFF2A000000}">
      <tableStyleElement type="headerRow" dxfId="419"/>
      <tableStyleElement type="firstRowStripe" dxfId="418"/>
      <tableStyleElement type="secondRowStripe" dxfId="417"/>
    </tableStyle>
    <tableStyle name="Październik25- wydatki-style 2" pivot="0" count="2" xr9:uid="{00000000-0011-0000-FFFF-FFFF2B000000}">
      <tableStyleElement type="firstRowStripe" dxfId="416"/>
      <tableStyleElement type="secondRowStripe" dxfId="415"/>
    </tableStyle>
    <tableStyle name="Październik25- wydatki-style 3" pivot="0" count="2" xr9:uid="{00000000-0011-0000-FFFF-FFFF2C000000}">
      <tableStyleElement type="firstRowStripe" dxfId="414"/>
      <tableStyleElement type="secondRowStripe" dxfId="413"/>
    </tableStyle>
    <tableStyle name="Październik25- wydatki-style 4" pivot="0" count="2" xr9:uid="{00000000-0011-0000-FFFF-FFFF2D000000}">
      <tableStyleElement type="firstRowStripe" dxfId="412"/>
      <tableStyleElement type="secondRowStripe" dxfId="411"/>
    </tableStyle>
    <tableStyle name="Październik25- wydatki-style 5" pivot="0" count="2" xr9:uid="{00000000-0011-0000-FFFF-FFFF2E000000}">
      <tableStyleElement type="firstRowStripe" dxfId="410"/>
      <tableStyleElement type="secondRowStripe" dxfId="409"/>
    </tableStyle>
    <tableStyle name="Październik25- wydatki-style 6" pivot="0" count="2" xr9:uid="{00000000-0011-0000-FFFF-FFFF2F000000}">
      <tableStyleElement type="firstRowStripe" dxfId="408"/>
      <tableStyleElement type="secondRowStripe" dxfId="407"/>
    </tableStyle>
    <tableStyle name="Październik25- wydatki-style 7" pivot="0" count="2" xr9:uid="{00000000-0011-0000-FFFF-FFFF30000000}">
      <tableStyleElement type="firstRowStripe" dxfId="406"/>
      <tableStyleElement type="secondRowStripe" dxfId="405"/>
    </tableStyle>
    <tableStyle name="Wrzesień25- wydatki-style" pivot="0" count="3" xr9:uid="{00000000-0011-0000-FFFF-FFFF31000000}">
      <tableStyleElement type="headerRow" dxfId="404"/>
      <tableStyleElement type="firstRowStripe" dxfId="403"/>
      <tableStyleElement type="secondRowStripe" dxfId="402"/>
    </tableStyle>
    <tableStyle name="Wrzesień25- wydatki-style 2" pivot="0" count="2" xr9:uid="{00000000-0011-0000-FFFF-FFFF32000000}">
      <tableStyleElement type="firstRowStripe" dxfId="401"/>
      <tableStyleElement type="secondRowStripe" dxfId="400"/>
    </tableStyle>
    <tableStyle name="Wrzesień25- wydatki-style 3" pivot="0" count="2" xr9:uid="{00000000-0011-0000-FFFF-FFFF33000000}">
      <tableStyleElement type="firstRowStripe" dxfId="399"/>
      <tableStyleElement type="secondRowStripe" dxfId="398"/>
    </tableStyle>
    <tableStyle name="Wrzesień25- wydatki-style 4" pivot="0" count="2" xr9:uid="{00000000-0011-0000-FFFF-FFFF34000000}">
      <tableStyleElement type="firstRowStripe" dxfId="397"/>
      <tableStyleElement type="secondRowStripe" dxfId="396"/>
    </tableStyle>
    <tableStyle name="Wrzesień25- wydatki-style 5" pivot="0" count="2" xr9:uid="{00000000-0011-0000-FFFF-FFFF35000000}">
      <tableStyleElement type="firstRowStripe" dxfId="395"/>
      <tableStyleElement type="secondRowStripe" dxfId="394"/>
    </tableStyle>
    <tableStyle name="Wrzesień25- wydatki-style 6" pivot="0" count="2" xr9:uid="{00000000-0011-0000-FFFF-FFFF36000000}">
      <tableStyleElement type="firstRowStripe" dxfId="393"/>
      <tableStyleElement type="secondRowStripe" dxfId="392"/>
    </tableStyle>
    <tableStyle name="Wrzesień25- wydatki-style 7" pivot="0" count="2" xr9:uid="{00000000-0011-0000-FFFF-FFFF37000000}">
      <tableStyleElement type="firstRowStripe" dxfId="391"/>
      <tableStyleElement type="secondRowStripe" dxfId="390"/>
    </tableStyle>
    <tableStyle name="Sierpień25 - wydatki-style" pivot="0" count="3" xr9:uid="{00000000-0011-0000-FFFF-FFFF38000000}">
      <tableStyleElement type="headerRow" dxfId="389"/>
      <tableStyleElement type="firstRowStripe" dxfId="388"/>
      <tableStyleElement type="secondRowStripe" dxfId="387"/>
    </tableStyle>
    <tableStyle name="Sierpień25 - wydatki-style 2" pivot="0" count="2" xr9:uid="{00000000-0011-0000-FFFF-FFFF39000000}">
      <tableStyleElement type="firstRowStripe" dxfId="386"/>
      <tableStyleElement type="secondRowStripe" dxfId="385"/>
    </tableStyle>
    <tableStyle name="Sierpień25 - wydatki-style 3" pivot="0" count="2" xr9:uid="{00000000-0011-0000-FFFF-FFFF3A000000}">
      <tableStyleElement type="firstRowStripe" dxfId="384"/>
      <tableStyleElement type="secondRowStripe" dxfId="383"/>
    </tableStyle>
    <tableStyle name="Sierpień25 - wydatki-style 4" pivot="0" count="2" xr9:uid="{00000000-0011-0000-FFFF-FFFF3B000000}">
      <tableStyleElement type="firstRowStripe" dxfId="382"/>
      <tableStyleElement type="secondRowStripe" dxfId="381"/>
    </tableStyle>
    <tableStyle name="Sierpień25 - wydatki-style 5" pivot="0" count="2" xr9:uid="{00000000-0011-0000-FFFF-FFFF3C000000}">
      <tableStyleElement type="firstRowStripe" dxfId="380"/>
      <tableStyleElement type="secondRowStripe" dxfId="379"/>
    </tableStyle>
    <tableStyle name="Sierpień25 - wydatki-style 6" pivot="0" count="2" xr9:uid="{00000000-0011-0000-FFFF-FFFF3D000000}">
      <tableStyleElement type="firstRowStripe" dxfId="378"/>
      <tableStyleElement type="secondRowStripe" dxfId="377"/>
    </tableStyle>
    <tableStyle name="Sierpień25 - wydatki-style 7" pivot="0" count="2" xr9:uid="{00000000-0011-0000-FFFF-FFFF3E000000}">
      <tableStyleElement type="firstRowStripe" dxfId="376"/>
      <tableStyleElement type="secondRowStripe" dxfId="375"/>
    </tableStyle>
    <tableStyle name="Lipiec25 - wydatki-style" pivot="0" count="3" xr9:uid="{00000000-0011-0000-FFFF-FFFF3F000000}">
      <tableStyleElement type="headerRow" dxfId="374"/>
      <tableStyleElement type="firstRowStripe" dxfId="373"/>
      <tableStyleElement type="secondRowStripe" dxfId="372"/>
    </tableStyle>
    <tableStyle name="Lipiec25 - wydatki-style 2" pivot="0" count="2" xr9:uid="{00000000-0011-0000-FFFF-FFFF40000000}">
      <tableStyleElement type="firstRowStripe" dxfId="371"/>
      <tableStyleElement type="secondRowStripe" dxfId="370"/>
    </tableStyle>
    <tableStyle name="Lipiec25 - wydatki-style 3" pivot="0" count="2" xr9:uid="{00000000-0011-0000-FFFF-FFFF41000000}">
      <tableStyleElement type="firstRowStripe" dxfId="369"/>
      <tableStyleElement type="secondRowStripe" dxfId="368"/>
    </tableStyle>
    <tableStyle name="Lipiec25 - wydatki-style 4" pivot="0" count="2" xr9:uid="{00000000-0011-0000-FFFF-FFFF42000000}">
      <tableStyleElement type="firstRowStripe" dxfId="367"/>
      <tableStyleElement type="secondRowStripe" dxfId="366"/>
    </tableStyle>
    <tableStyle name="Lipiec25 - wydatki-style 5" pivot="0" count="2" xr9:uid="{00000000-0011-0000-FFFF-FFFF43000000}">
      <tableStyleElement type="firstRowStripe" dxfId="365"/>
      <tableStyleElement type="secondRowStripe" dxfId="364"/>
    </tableStyle>
    <tableStyle name="Lipiec25 - wydatki-style 6" pivot="0" count="2" xr9:uid="{00000000-0011-0000-FFFF-FFFF44000000}">
      <tableStyleElement type="firstRowStripe" dxfId="363"/>
      <tableStyleElement type="secondRowStripe" dxfId="362"/>
    </tableStyle>
    <tableStyle name="Lipiec25 - wydatki-style 7" pivot="0" count="2" xr9:uid="{00000000-0011-0000-FFFF-FFFF45000000}">
      <tableStyleElement type="firstRowStripe" dxfId="361"/>
      <tableStyleElement type="secondRowStripe" dxfId="360"/>
    </tableStyle>
    <tableStyle name="Kwiecień25 - wydatki -style" pivot="0" count="3" xr9:uid="{00000000-0011-0000-FFFF-FFFF46000000}">
      <tableStyleElement type="headerRow" dxfId="359"/>
      <tableStyleElement type="firstRowStripe" dxfId="358"/>
      <tableStyleElement type="secondRowStripe" dxfId="357"/>
    </tableStyle>
    <tableStyle name="Kwiecień25 - wydatki -style 2" pivot="0" count="2" xr9:uid="{00000000-0011-0000-FFFF-FFFF47000000}">
      <tableStyleElement type="firstRowStripe" dxfId="356"/>
      <tableStyleElement type="secondRowStripe" dxfId="355"/>
    </tableStyle>
    <tableStyle name="Kwiecień25 - wydatki -style 3" pivot="0" count="2" xr9:uid="{00000000-0011-0000-FFFF-FFFF48000000}">
      <tableStyleElement type="firstRowStripe" dxfId="354"/>
      <tableStyleElement type="secondRowStripe" dxfId="353"/>
    </tableStyle>
    <tableStyle name="Kwiecień25 - wydatki -style 4" pivot="0" count="2" xr9:uid="{00000000-0011-0000-FFFF-FFFF49000000}">
      <tableStyleElement type="firstRowStripe" dxfId="352"/>
      <tableStyleElement type="secondRowStripe" dxfId="351"/>
    </tableStyle>
    <tableStyle name="Kwiecień25 - wydatki -style 5" pivot="0" count="2" xr9:uid="{00000000-0011-0000-FFFF-FFFF4A000000}">
      <tableStyleElement type="firstRowStripe" dxfId="350"/>
      <tableStyleElement type="secondRowStripe" dxfId="349"/>
    </tableStyle>
    <tableStyle name="Kwiecień25 - wydatki -style 6" pivot="0" count="2" xr9:uid="{00000000-0011-0000-FFFF-FFFF4B000000}">
      <tableStyleElement type="firstRowStripe" dxfId="348"/>
      <tableStyleElement type="secondRowStripe" dxfId="347"/>
    </tableStyle>
    <tableStyle name="Kwiecień25 - wydatki -style 7" pivot="0" count="2" xr9:uid="{00000000-0011-0000-FFFF-FFFF4C000000}">
      <tableStyleElement type="firstRowStripe" dxfId="346"/>
      <tableStyleElement type="secondRowStripe" dxfId="345"/>
    </tableStyle>
    <tableStyle name="Czerwiec25 - wydatki-style" pivot="0" count="3" xr9:uid="{00000000-0011-0000-FFFF-FFFF4D000000}">
      <tableStyleElement type="headerRow" dxfId="344"/>
      <tableStyleElement type="firstRowStripe" dxfId="343"/>
      <tableStyleElement type="secondRowStripe" dxfId="342"/>
    </tableStyle>
    <tableStyle name="Czerwiec25 - wydatki-style 2" pivot="0" count="2" xr9:uid="{00000000-0011-0000-FFFF-FFFF4E000000}">
      <tableStyleElement type="firstRowStripe" dxfId="341"/>
      <tableStyleElement type="secondRowStripe" dxfId="340"/>
    </tableStyle>
    <tableStyle name="Czerwiec25 - wydatki-style 3" pivot="0" count="2" xr9:uid="{00000000-0011-0000-FFFF-FFFF4F000000}">
      <tableStyleElement type="firstRowStripe" dxfId="339"/>
      <tableStyleElement type="secondRowStripe" dxfId="338"/>
    </tableStyle>
    <tableStyle name="Czerwiec25 - wydatki-style 4" pivot="0" count="2" xr9:uid="{00000000-0011-0000-FFFF-FFFF50000000}">
      <tableStyleElement type="firstRowStripe" dxfId="337"/>
      <tableStyleElement type="secondRowStripe" dxfId="336"/>
    </tableStyle>
    <tableStyle name="Czerwiec25 - wydatki-style 5" pivot="0" count="2" xr9:uid="{00000000-0011-0000-FFFF-FFFF51000000}">
      <tableStyleElement type="firstRowStripe" dxfId="335"/>
      <tableStyleElement type="secondRowStripe" dxfId="334"/>
    </tableStyle>
    <tableStyle name="Czerwiec25 - wydatki-style 6" pivot="0" count="2" xr9:uid="{00000000-0011-0000-FFFF-FFFF52000000}">
      <tableStyleElement type="firstRowStripe" dxfId="333"/>
      <tableStyleElement type="secondRowStripe" dxfId="332"/>
    </tableStyle>
    <tableStyle name="Czerwiec25 - wydatki-style 7" pivot="0" count="2" xr9:uid="{00000000-0011-0000-FFFF-FFFF53000000}">
      <tableStyleElement type="firstRowStripe" dxfId="331"/>
      <tableStyleElement type="secondRowStripe" dxfId="330"/>
    </tableStyle>
    <tableStyle name="Maj25 - wydatki-style" pivot="0" count="3" xr9:uid="{00000000-0011-0000-FFFF-FFFF54000000}">
      <tableStyleElement type="headerRow" dxfId="329"/>
      <tableStyleElement type="firstRowStripe" dxfId="328"/>
      <tableStyleElement type="secondRowStripe" dxfId="327"/>
    </tableStyle>
    <tableStyle name="Maj25 - wydatki-style 2" pivot="0" count="2" xr9:uid="{00000000-0011-0000-FFFF-FFFF55000000}">
      <tableStyleElement type="firstRowStripe" dxfId="326"/>
      <tableStyleElement type="secondRowStripe" dxfId="325"/>
    </tableStyle>
    <tableStyle name="Maj25 - wydatki-style 3" pivot="0" count="2" xr9:uid="{00000000-0011-0000-FFFF-FFFF56000000}">
      <tableStyleElement type="firstRowStripe" dxfId="324"/>
      <tableStyleElement type="secondRowStripe" dxfId="323"/>
    </tableStyle>
    <tableStyle name="Maj25 - wydatki-style 4" pivot="0" count="2" xr9:uid="{00000000-0011-0000-FFFF-FFFF57000000}">
      <tableStyleElement type="firstRowStripe" dxfId="322"/>
      <tableStyleElement type="secondRowStripe" dxfId="321"/>
    </tableStyle>
    <tableStyle name="Maj25 - wydatki-style 5" pivot="0" count="2" xr9:uid="{00000000-0011-0000-FFFF-FFFF58000000}">
      <tableStyleElement type="firstRowStripe" dxfId="320"/>
      <tableStyleElement type="secondRowStripe" dxfId="319"/>
    </tableStyle>
    <tableStyle name="Maj25 - wydatki-style 6" pivot="0" count="2" xr9:uid="{00000000-0011-0000-FFFF-FFFF59000000}">
      <tableStyleElement type="firstRowStripe" dxfId="318"/>
      <tableStyleElement type="secondRowStripe" dxfId="317"/>
    </tableStyle>
    <tableStyle name="Maj25 - wydatki-style 7" pivot="0" count="2" xr9:uid="{00000000-0011-0000-FFFF-FFFF5A000000}">
      <tableStyleElement type="firstRowStripe" dxfId="316"/>
      <tableStyleElement type="secondRowStripe" dxfId="315"/>
    </tableStyle>
    <tableStyle name="Marzec25 - wydatki-style" pivot="0" count="3" xr9:uid="{00000000-0011-0000-FFFF-FFFF5B000000}">
      <tableStyleElement type="headerRow" dxfId="314"/>
      <tableStyleElement type="firstRowStripe" dxfId="313"/>
      <tableStyleElement type="secondRowStripe" dxfId="312"/>
    </tableStyle>
    <tableStyle name="Marzec25 - wydatki-style 2" pivot="0" count="2" xr9:uid="{00000000-0011-0000-FFFF-FFFF5C000000}">
      <tableStyleElement type="firstRowStripe" dxfId="311"/>
      <tableStyleElement type="secondRowStripe" dxfId="310"/>
    </tableStyle>
    <tableStyle name="Marzec25 - wydatki-style 3" pivot="0" count="2" xr9:uid="{00000000-0011-0000-FFFF-FFFF5D000000}">
      <tableStyleElement type="firstRowStripe" dxfId="309"/>
      <tableStyleElement type="secondRowStripe" dxfId="308"/>
    </tableStyle>
    <tableStyle name="Marzec25 - wydatki-style 4" pivot="0" count="2" xr9:uid="{00000000-0011-0000-FFFF-FFFF5E000000}">
      <tableStyleElement type="firstRowStripe" dxfId="307"/>
      <tableStyleElement type="secondRowStripe" dxfId="306"/>
    </tableStyle>
    <tableStyle name="Marzec25 - wydatki-style 5" pivot="0" count="2" xr9:uid="{00000000-0011-0000-FFFF-FFFF5F000000}">
      <tableStyleElement type="firstRowStripe" dxfId="305"/>
      <tableStyleElement type="secondRowStripe" dxfId="304"/>
    </tableStyle>
    <tableStyle name="Marzec25 - wydatki-style 6" pivot="0" count="2" xr9:uid="{00000000-0011-0000-FFFF-FFFF60000000}">
      <tableStyleElement type="firstRowStripe" dxfId="303"/>
      <tableStyleElement type="secondRowStripe" dxfId="302"/>
    </tableStyle>
    <tableStyle name="Marzec25 - wydatki-style 7" pivot="0" count="2" xr9:uid="{00000000-0011-0000-FFFF-FFFF61000000}">
      <tableStyleElement type="firstRowStripe" dxfId="301"/>
      <tableStyleElement type="secondRowStripe" dxfId="300"/>
    </tableStyle>
    <tableStyle name="Luty25 - wydatki-style" pivot="0" count="3" xr9:uid="{00000000-0011-0000-FFFF-FFFF62000000}">
      <tableStyleElement type="headerRow" dxfId="299"/>
      <tableStyleElement type="firstRowStripe" dxfId="298"/>
      <tableStyleElement type="secondRowStripe" dxfId="297"/>
    </tableStyle>
    <tableStyle name="Luty25 - wydatki-style 2" pivot="0" count="2" xr9:uid="{00000000-0011-0000-FFFF-FFFF63000000}">
      <tableStyleElement type="firstRowStripe" dxfId="296"/>
      <tableStyleElement type="secondRowStripe" dxfId="295"/>
    </tableStyle>
    <tableStyle name="Luty25 - wydatki-style 3" pivot="0" count="2" xr9:uid="{00000000-0011-0000-FFFF-FFFF64000000}">
      <tableStyleElement type="firstRowStripe" dxfId="294"/>
      <tableStyleElement type="secondRowStripe" dxfId="293"/>
    </tableStyle>
    <tableStyle name="Luty25 - wydatki-style 4" pivot="0" count="2" xr9:uid="{00000000-0011-0000-FFFF-FFFF65000000}">
      <tableStyleElement type="firstRowStripe" dxfId="292"/>
      <tableStyleElement type="secondRowStripe" dxfId="291"/>
    </tableStyle>
    <tableStyle name="Luty25 - wydatki-style 5" pivot="0" count="2" xr9:uid="{00000000-0011-0000-FFFF-FFFF66000000}">
      <tableStyleElement type="firstRowStripe" dxfId="290"/>
      <tableStyleElement type="secondRowStripe" dxfId="289"/>
    </tableStyle>
    <tableStyle name="Luty25 - wydatki-style 6" pivot="0" count="2" xr9:uid="{00000000-0011-0000-FFFF-FFFF67000000}">
      <tableStyleElement type="firstRowStripe" dxfId="288"/>
      <tableStyleElement type="secondRowStripe" dxfId="287"/>
    </tableStyle>
    <tableStyle name="Luty25 - wydatki-style 7" pivot="0" count="2" xr9:uid="{00000000-0011-0000-FFFF-FFFF68000000}">
      <tableStyleElement type="firstRowStripe" dxfId="286"/>
      <tableStyleElement type="secondRowStripe" dxfId="285"/>
    </tableStyle>
    <tableStyle name="Styczeń25 - wydatki-style" pivot="0" count="3" xr9:uid="{00000000-0011-0000-FFFF-FFFF69000000}">
      <tableStyleElement type="headerRow" dxfId="284"/>
      <tableStyleElement type="firstRowStripe" dxfId="283"/>
      <tableStyleElement type="secondRowStripe" dxfId="282"/>
    </tableStyle>
    <tableStyle name="Styczeń25 - wydatki-style 2" pivot="0" count="2" xr9:uid="{00000000-0011-0000-FFFF-FFFF6A000000}">
      <tableStyleElement type="firstRowStripe" dxfId="281"/>
      <tableStyleElement type="secondRowStripe" dxfId="280"/>
    </tableStyle>
    <tableStyle name="Styczeń25 - wydatki-style 3" pivot="0" count="2" xr9:uid="{00000000-0011-0000-FFFF-FFFF6B000000}">
      <tableStyleElement type="firstRowStripe" dxfId="279"/>
      <tableStyleElement type="secondRowStripe" dxfId="278"/>
    </tableStyle>
    <tableStyle name="Styczeń25 - wydatki-style 4" pivot="0" count="2" xr9:uid="{00000000-0011-0000-FFFF-FFFF6C000000}">
      <tableStyleElement type="firstRowStripe" dxfId="277"/>
      <tableStyleElement type="secondRowStripe" dxfId="276"/>
    </tableStyle>
    <tableStyle name="Styczeń25 - wydatki-style 5" pivot="0" count="2" xr9:uid="{00000000-0011-0000-FFFF-FFFF6D000000}">
      <tableStyleElement type="firstRowStripe" dxfId="275"/>
      <tableStyleElement type="secondRowStripe" dxfId="274"/>
    </tableStyle>
    <tableStyle name="Styczeń25 - wydatki-style 6" pivot="0" count="2" xr9:uid="{00000000-0011-0000-FFFF-FFFF6E000000}">
      <tableStyleElement type="firstRowStripe" dxfId="273"/>
      <tableStyleElement type="secondRowStripe" dxfId="272"/>
    </tableStyle>
    <tableStyle name="Styczeń25 - wydatki-style 7" pivot="0" count="2" xr9:uid="{00000000-0011-0000-FFFF-FFFF6F000000}">
      <tableStyleElement type="firstRowStripe" dxfId="271"/>
      <tableStyleElement type="secondRowStripe" dxfId="270"/>
    </tableStyle>
    <tableStyle name="Grudzień24 - wydatki-style" pivot="0" count="3" xr9:uid="{00000000-0011-0000-FFFF-FFFF70000000}">
      <tableStyleElement type="headerRow" dxfId="269"/>
      <tableStyleElement type="firstRowStripe" dxfId="268"/>
      <tableStyleElement type="secondRowStripe" dxfId="267"/>
    </tableStyle>
    <tableStyle name="Grudzień24 - wydatki-style 2" pivot="0" count="2" xr9:uid="{00000000-0011-0000-FFFF-FFFF71000000}">
      <tableStyleElement type="firstRowStripe" dxfId="266"/>
      <tableStyleElement type="secondRowStripe" dxfId="265"/>
    </tableStyle>
    <tableStyle name="Grudzień24 - wydatki-style 3" pivot="0" count="2" xr9:uid="{00000000-0011-0000-FFFF-FFFF72000000}">
      <tableStyleElement type="firstRowStripe" dxfId="264"/>
      <tableStyleElement type="secondRowStripe" dxfId="263"/>
    </tableStyle>
    <tableStyle name="Grudzień24 - wydatki-style 4" pivot="0" count="2" xr9:uid="{00000000-0011-0000-FFFF-FFFF73000000}">
      <tableStyleElement type="firstRowStripe" dxfId="262"/>
      <tableStyleElement type="secondRowStripe" dxfId="261"/>
    </tableStyle>
    <tableStyle name="Grudzień24 - wydatki-style 5" pivot="0" count="2" xr9:uid="{00000000-0011-0000-FFFF-FFFF74000000}">
      <tableStyleElement type="firstRowStripe" dxfId="260"/>
      <tableStyleElement type="secondRowStripe" dxfId="259"/>
    </tableStyle>
    <tableStyle name="Grudzień24 - wydatki-style 6" pivot="0" count="2" xr9:uid="{00000000-0011-0000-FFFF-FFFF75000000}">
      <tableStyleElement type="firstRowStripe" dxfId="258"/>
      <tableStyleElement type="secondRowStripe" dxfId="257"/>
    </tableStyle>
    <tableStyle name="Grudzień24 - wydatki-style 7" pivot="0" count="2" xr9:uid="{00000000-0011-0000-FFFF-FFFF76000000}">
      <tableStyleElement type="firstRowStripe" dxfId="256"/>
      <tableStyleElement type="secondRowStripe" dxfId="255"/>
    </tableStyle>
    <tableStyle name="Szablon-style" pivot="0" count="3" xr9:uid="{00000000-0011-0000-FFFF-FFFF77000000}">
      <tableStyleElement type="headerRow" dxfId="254"/>
      <tableStyleElement type="firstRowStripe" dxfId="253"/>
      <tableStyleElement type="secondRowStripe" dxfId="252"/>
    </tableStyle>
    <tableStyle name="Szablon-style 2" pivot="0" count="2" xr9:uid="{00000000-0011-0000-FFFF-FFFF78000000}">
      <tableStyleElement type="firstRowStripe" dxfId="251"/>
      <tableStyleElement type="secondRowStripe" dxfId="250"/>
    </tableStyle>
    <tableStyle name="Szablon-style 3" pivot="0" count="2" xr9:uid="{00000000-0011-0000-FFFF-FFFF79000000}">
      <tableStyleElement type="firstRowStripe" dxfId="249"/>
      <tableStyleElement type="secondRowStripe" dxfId="248"/>
    </tableStyle>
    <tableStyle name="Szablon-style 4" pivot="0" count="2" xr9:uid="{00000000-0011-0000-FFFF-FFFF7A000000}">
      <tableStyleElement type="firstRowStripe" dxfId="247"/>
      <tableStyleElement type="secondRowStripe" dxfId="246"/>
    </tableStyle>
    <tableStyle name="Szablon-style 5" pivot="0" count="2" xr9:uid="{00000000-0011-0000-FFFF-FFFF7B000000}">
      <tableStyleElement type="firstRowStripe" dxfId="245"/>
      <tableStyleElement type="secondRowStripe" dxfId="244"/>
    </tableStyle>
    <tableStyle name="Szablon-style 6" pivot="0" count="2" xr9:uid="{00000000-0011-0000-FFFF-FFFF7C000000}">
      <tableStyleElement type="firstRowStripe" dxfId="243"/>
      <tableStyleElement type="secondRowStripe" dxfId="242"/>
    </tableStyle>
    <tableStyle name="Szablon-style 7" pivot="0" count="2" xr9:uid="{00000000-0011-0000-FFFF-FFFF7D000000}">
      <tableStyleElement type="firstRowStripe" dxfId="241"/>
      <tableStyleElement type="secondRowStripe" dxfId="240"/>
    </tableStyle>
    <tableStyle name="Listopad - wydatki-style" pivot="0" count="2" xr9:uid="{00000000-0011-0000-FFFF-FFFF7E000000}">
      <tableStyleElement type="firstRowStripe" dxfId="239"/>
      <tableStyleElement type="secondRowStripe" dxfId="238"/>
    </tableStyle>
    <tableStyle name="Listopad - wydatki-style 2" pivot="0" count="2" xr9:uid="{00000000-0011-0000-FFFF-FFFF7F000000}">
      <tableStyleElement type="firstRowStripe" dxfId="237"/>
      <tableStyleElement type="secondRowStripe" dxfId="236"/>
    </tableStyle>
    <tableStyle name="Listopad - wydatki-style 3" pivot="0" count="2" xr9:uid="{00000000-0011-0000-FFFF-FFFF80000000}">
      <tableStyleElement type="firstRowStripe" dxfId="235"/>
      <tableStyleElement type="secondRowStripe" dxfId="234"/>
    </tableStyle>
    <tableStyle name="Listopad - wydatki-style 4" pivot="0" count="2" xr9:uid="{00000000-0011-0000-FFFF-FFFF81000000}">
      <tableStyleElement type="firstRowStripe" dxfId="233"/>
      <tableStyleElement type="secondRowStripe" dxfId="232"/>
    </tableStyle>
    <tableStyle name="Listopad - wydatki-style 5" pivot="0" count="2" xr9:uid="{00000000-0011-0000-FFFF-FFFF82000000}">
      <tableStyleElement type="firstRowStripe" dxfId="231"/>
      <tableStyleElement type="secondRowStripe" dxfId="230"/>
    </tableStyle>
    <tableStyle name="Listopad - wydatki-style 6" pivot="0" count="2" xr9:uid="{00000000-0011-0000-FFFF-FFFF83000000}">
      <tableStyleElement type="firstRowStripe" dxfId="229"/>
      <tableStyleElement type="secondRowStripe" dxfId="228"/>
    </tableStyle>
    <tableStyle name="Listopad - wydatki-style 7" pivot="0" count="2" xr9:uid="{00000000-0011-0000-FFFF-FFFF84000000}">
      <tableStyleElement type="firstRowStripe" dxfId="227"/>
      <tableStyleElement type="secondRowStripe" dxfId="226"/>
    </tableStyle>
    <tableStyle name="Listopad - wydatki-style 8" pivot="0" count="2" xr9:uid="{00000000-0011-0000-FFFF-FFFF85000000}">
      <tableStyleElement type="firstRowStripe" dxfId="225"/>
      <tableStyleElement type="secondRowStripe" dxfId="224"/>
    </tableStyle>
    <tableStyle name="Listopad - wydatki-style 9" pivot="0" count="2" xr9:uid="{00000000-0011-0000-FFFF-FFFF86000000}">
      <tableStyleElement type="firstRowStripe" dxfId="223"/>
      <tableStyleElement type="secondRowStripe" dxfId="222"/>
    </tableStyle>
    <tableStyle name="Listopad - wydatki-style 10" pivot="0" count="2" xr9:uid="{00000000-0011-0000-FFFF-FFFF87000000}">
      <tableStyleElement type="firstRowStripe" dxfId="221"/>
      <tableStyleElement type="secondRowStripe" dxfId="220"/>
    </tableStyle>
    <tableStyle name="Październik - wydatki-style" pivot="0" count="2" xr9:uid="{00000000-0011-0000-FFFF-FFFF88000000}">
      <tableStyleElement type="firstRowStripe" dxfId="219"/>
      <tableStyleElement type="secondRowStripe" dxfId="218"/>
    </tableStyle>
    <tableStyle name="Październik - wydatki-style 2" pivot="0" count="2" xr9:uid="{00000000-0011-0000-FFFF-FFFF89000000}">
      <tableStyleElement type="firstRowStripe" dxfId="217"/>
      <tableStyleElement type="secondRowStripe" dxfId="216"/>
    </tableStyle>
    <tableStyle name="Październik - wydatki-style 3" pivot="0" count="2" xr9:uid="{00000000-0011-0000-FFFF-FFFF8A000000}">
      <tableStyleElement type="firstRowStripe" dxfId="215"/>
      <tableStyleElement type="secondRowStripe" dxfId="214"/>
    </tableStyle>
    <tableStyle name="Październik - wydatki-style 4" pivot="0" count="2" xr9:uid="{00000000-0011-0000-FFFF-FFFF8B000000}">
      <tableStyleElement type="firstRowStripe" dxfId="213"/>
      <tableStyleElement type="secondRowStripe" dxfId="212"/>
    </tableStyle>
    <tableStyle name="Październik - wydatki-style 5" pivot="0" count="2" xr9:uid="{00000000-0011-0000-FFFF-FFFF8C000000}">
      <tableStyleElement type="firstRowStripe" dxfId="211"/>
      <tableStyleElement type="secondRowStripe" dxfId="210"/>
    </tableStyle>
    <tableStyle name="Październik - wydatki-style 6" pivot="0" count="2" xr9:uid="{00000000-0011-0000-FFFF-FFFF8D000000}">
      <tableStyleElement type="firstRowStripe" dxfId="209"/>
      <tableStyleElement type="secondRowStripe" dxfId="208"/>
    </tableStyle>
    <tableStyle name="Październik - wydatki-style 7" pivot="0" count="2" xr9:uid="{00000000-0011-0000-FFFF-FFFF8E000000}">
      <tableStyleElement type="firstRowStripe" dxfId="207"/>
      <tableStyleElement type="secondRowStripe" dxfId="206"/>
    </tableStyle>
    <tableStyle name="Październik - wydatki-style 8" pivot="0" count="2" xr9:uid="{00000000-0011-0000-FFFF-FFFF8F000000}">
      <tableStyleElement type="firstRowStripe" dxfId="205"/>
      <tableStyleElement type="secondRowStripe" dxfId="204"/>
    </tableStyle>
    <tableStyle name="Październik - wydatki-style 9" pivot="0" count="2" xr9:uid="{00000000-0011-0000-FFFF-FFFF90000000}">
      <tableStyleElement type="firstRowStripe" dxfId="203"/>
      <tableStyleElement type="secondRowStripe" dxfId="202"/>
    </tableStyle>
    <tableStyle name="Październik - wydatki-style 10" pivot="0" count="2" xr9:uid="{00000000-0011-0000-FFFF-FFFF91000000}">
      <tableStyleElement type="firstRowStripe" dxfId="201"/>
      <tableStyleElement type="secondRowStripe" dxfId="200"/>
    </tableStyle>
    <tableStyle name="Wrzesień - wydatki-style" pivot="0" count="2" xr9:uid="{00000000-0011-0000-FFFF-FFFF92000000}">
      <tableStyleElement type="firstRowStripe" dxfId="199"/>
      <tableStyleElement type="secondRowStripe" dxfId="198"/>
    </tableStyle>
    <tableStyle name="Wrzesień - wydatki-style 2" pivot="0" count="2" xr9:uid="{00000000-0011-0000-FFFF-FFFF93000000}">
      <tableStyleElement type="firstRowStripe" dxfId="197"/>
      <tableStyleElement type="secondRowStripe" dxfId="196"/>
    </tableStyle>
    <tableStyle name="Wrzesień - wydatki-style 3" pivot="0" count="2" xr9:uid="{00000000-0011-0000-FFFF-FFFF94000000}">
      <tableStyleElement type="firstRowStripe" dxfId="195"/>
      <tableStyleElement type="secondRowStripe" dxfId="194"/>
    </tableStyle>
    <tableStyle name="Wrzesień - wydatki-style 4" pivot="0" count="2" xr9:uid="{00000000-0011-0000-FFFF-FFFF95000000}">
      <tableStyleElement type="firstRowStripe" dxfId="193"/>
      <tableStyleElement type="secondRowStripe" dxfId="192"/>
    </tableStyle>
    <tableStyle name="Wrzesień - wydatki-style 5" pivot="0" count="2" xr9:uid="{00000000-0011-0000-FFFF-FFFF96000000}">
      <tableStyleElement type="firstRowStripe" dxfId="191"/>
      <tableStyleElement type="secondRowStripe" dxfId="190"/>
    </tableStyle>
    <tableStyle name="Wrzesień - wydatki-style 6" pivot="0" count="2" xr9:uid="{00000000-0011-0000-FFFF-FFFF97000000}">
      <tableStyleElement type="firstRowStripe" dxfId="189"/>
      <tableStyleElement type="secondRowStripe" dxfId="188"/>
    </tableStyle>
    <tableStyle name="Wrzesień - wydatki-style 7" pivot="0" count="2" xr9:uid="{00000000-0011-0000-FFFF-FFFF98000000}">
      <tableStyleElement type="firstRowStripe" dxfId="187"/>
      <tableStyleElement type="secondRowStripe" dxfId="186"/>
    </tableStyle>
    <tableStyle name="Wrzesień - wydatki-style 8" pivot="0" count="2" xr9:uid="{00000000-0011-0000-FFFF-FFFF99000000}">
      <tableStyleElement type="firstRowStripe" dxfId="185"/>
      <tableStyleElement type="secondRowStripe" dxfId="184"/>
    </tableStyle>
    <tableStyle name="Wrzesień - wydatki-style 9" pivot="0" count="2" xr9:uid="{00000000-0011-0000-FFFF-FFFF9A000000}">
      <tableStyleElement type="firstRowStripe" dxfId="183"/>
      <tableStyleElement type="secondRowStripe" dxfId="182"/>
    </tableStyle>
    <tableStyle name="Wrzesień - wydatki-style 10" pivot="0" count="2" xr9:uid="{00000000-0011-0000-FFFF-FFFF9B000000}">
      <tableStyleElement type="firstRowStripe" dxfId="181"/>
      <tableStyleElement type="secondRowStripe" dxfId="180"/>
    </tableStyle>
    <tableStyle name="Sierpień - wydatki-style" pivot="0" count="2" xr9:uid="{00000000-0011-0000-FFFF-FFFF9C000000}">
      <tableStyleElement type="firstRowStripe" dxfId="179"/>
      <tableStyleElement type="secondRowStripe" dxfId="178"/>
    </tableStyle>
    <tableStyle name="Sierpień - wydatki-style 2" pivot="0" count="2" xr9:uid="{00000000-0011-0000-FFFF-FFFF9D000000}">
      <tableStyleElement type="firstRowStripe" dxfId="177"/>
      <tableStyleElement type="secondRowStripe" dxfId="176"/>
    </tableStyle>
    <tableStyle name="Sierpień - wydatki-style 3" pivot="0" count="2" xr9:uid="{00000000-0011-0000-FFFF-FFFF9E000000}">
      <tableStyleElement type="firstRowStripe" dxfId="175"/>
      <tableStyleElement type="secondRowStripe" dxfId="174"/>
    </tableStyle>
    <tableStyle name="Sierpień - wydatki-style 4" pivot="0" count="2" xr9:uid="{00000000-0011-0000-FFFF-FFFF9F000000}">
      <tableStyleElement type="firstRowStripe" dxfId="173"/>
      <tableStyleElement type="secondRowStripe" dxfId="172"/>
    </tableStyle>
    <tableStyle name="Sierpień - wydatki-style 5" pivot="0" count="2" xr9:uid="{00000000-0011-0000-FFFF-FFFFA0000000}">
      <tableStyleElement type="firstRowStripe" dxfId="171"/>
      <tableStyleElement type="secondRowStripe" dxfId="170"/>
    </tableStyle>
    <tableStyle name="Sierpień - wydatki-style 6" pivot="0" count="2" xr9:uid="{00000000-0011-0000-FFFF-FFFFA1000000}">
      <tableStyleElement type="firstRowStripe" dxfId="169"/>
      <tableStyleElement type="secondRowStripe" dxfId="168"/>
    </tableStyle>
    <tableStyle name="Sierpień - wydatki-style 7" pivot="0" count="2" xr9:uid="{00000000-0011-0000-FFFF-FFFFA2000000}">
      <tableStyleElement type="firstRowStripe" dxfId="167"/>
      <tableStyleElement type="secondRowStripe" dxfId="166"/>
    </tableStyle>
    <tableStyle name="Sierpień - wydatki-style 8" pivot="0" count="2" xr9:uid="{00000000-0011-0000-FFFF-FFFFA3000000}">
      <tableStyleElement type="firstRowStripe" dxfId="165"/>
      <tableStyleElement type="secondRowStripe" dxfId="164"/>
    </tableStyle>
    <tableStyle name="Sierpień - wydatki-style 9" pivot="0" count="2" xr9:uid="{00000000-0011-0000-FFFF-FFFFA4000000}">
      <tableStyleElement type="firstRowStripe" dxfId="163"/>
      <tableStyleElement type="secondRowStripe" dxfId="162"/>
    </tableStyle>
    <tableStyle name="Sierpień - wydatki-style 10" pivot="0" count="2" xr9:uid="{00000000-0011-0000-FFFF-FFFFA5000000}">
      <tableStyleElement type="firstRowStripe" dxfId="161"/>
      <tableStyleElement type="secondRowStripe" dxfId="160"/>
    </tableStyle>
    <tableStyle name="Lipiec - wydatki-style" pivot="0" count="2" xr9:uid="{00000000-0011-0000-FFFF-FFFFA6000000}">
      <tableStyleElement type="firstRowStripe" dxfId="159"/>
      <tableStyleElement type="secondRowStripe" dxfId="158"/>
    </tableStyle>
    <tableStyle name="Lipiec - wydatki-style 2" pivot="0" count="2" xr9:uid="{00000000-0011-0000-FFFF-FFFFA7000000}">
      <tableStyleElement type="firstRowStripe" dxfId="157"/>
      <tableStyleElement type="secondRowStripe" dxfId="156"/>
    </tableStyle>
    <tableStyle name="Lipiec - wydatki-style 3" pivot="0" count="2" xr9:uid="{00000000-0011-0000-FFFF-FFFFA8000000}">
      <tableStyleElement type="firstRowStripe" dxfId="155"/>
      <tableStyleElement type="secondRowStripe" dxfId="154"/>
    </tableStyle>
    <tableStyle name="Lipiec - wydatki-style 4" pivot="0" count="2" xr9:uid="{00000000-0011-0000-FFFF-FFFFA9000000}">
      <tableStyleElement type="firstRowStripe" dxfId="153"/>
      <tableStyleElement type="secondRowStripe" dxfId="152"/>
    </tableStyle>
    <tableStyle name="Lipiec - wydatki-style 5" pivot="0" count="2" xr9:uid="{00000000-0011-0000-FFFF-FFFFAA000000}">
      <tableStyleElement type="firstRowStripe" dxfId="151"/>
      <tableStyleElement type="secondRowStripe" dxfId="150"/>
    </tableStyle>
    <tableStyle name="Lipiec - wydatki-style 6" pivot="0" count="2" xr9:uid="{00000000-0011-0000-FFFF-FFFFAB000000}">
      <tableStyleElement type="firstRowStripe" dxfId="149"/>
      <tableStyleElement type="secondRowStripe" dxfId="148"/>
    </tableStyle>
    <tableStyle name="Lipiec - wydatki-style 7" pivot="0" count="2" xr9:uid="{00000000-0011-0000-FFFF-FFFFAC000000}">
      <tableStyleElement type="firstRowStripe" dxfId="147"/>
      <tableStyleElement type="secondRowStripe" dxfId="146"/>
    </tableStyle>
    <tableStyle name="Lipiec - wydatki-style 8" pivot="0" count="2" xr9:uid="{00000000-0011-0000-FFFF-FFFFAD000000}">
      <tableStyleElement type="firstRowStripe" dxfId="145"/>
      <tableStyleElement type="secondRowStripe" dxfId="144"/>
    </tableStyle>
    <tableStyle name="Lipiec - wydatki-style 9" pivot="0" count="2" xr9:uid="{00000000-0011-0000-FFFF-FFFFAE000000}">
      <tableStyleElement type="firstRowStripe" dxfId="143"/>
      <tableStyleElement type="secondRowStripe" dxfId="142"/>
    </tableStyle>
    <tableStyle name="Lipiec - wydatki-style 10" pivot="0" count="2" xr9:uid="{00000000-0011-0000-FFFF-FFFFAF000000}">
      <tableStyleElement type="firstRowStripe" dxfId="141"/>
      <tableStyleElement type="secondRowStripe" dxfId="140"/>
    </tableStyle>
    <tableStyle name="Czerwiec - wydatki -style" pivot="0" count="2" xr9:uid="{00000000-0011-0000-FFFF-FFFFB0000000}">
      <tableStyleElement type="firstRowStripe" dxfId="139"/>
      <tableStyleElement type="secondRowStripe" dxfId="138"/>
    </tableStyle>
    <tableStyle name="Czerwiec - wydatki -style 2" pivot="0" count="2" xr9:uid="{00000000-0011-0000-FFFF-FFFFB1000000}">
      <tableStyleElement type="firstRowStripe" dxfId="137"/>
      <tableStyleElement type="secondRowStripe" dxfId="136"/>
    </tableStyle>
    <tableStyle name="Czerwiec - wydatki -style 3" pivot="0" count="2" xr9:uid="{00000000-0011-0000-FFFF-FFFFB2000000}">
      <tableStyleElement type="firstRowStripe" dxfId="135"/>
      <tableStyleElement type="secondRowStripe" dxfId="134"/>
    </tableStyle>
    <tableStyle name="Czerwiec - wydatki -style 4" pivot="0" count="2" xr9:uid="{00000000-0011-0000-FFFF-FFFFB3000000}">
      <tableStyleElement type="firstRowStripe" dxfId="133"/>
      <tableStyleElement type="secondRowStripe" dxfId="132"/>
    </tableStyle>
    <tableStyle name="Czerwiec - wydatki -style 5" pivot="0" count="2" xr9:uid="{00000000-0011-0000-FFFF-FFFFB4000000}">
      <tableStyleElement type="firstRowStripe" dxfId="131"/>
      <tableStyleElement type="secondRowStripe" dxfId="130"/>
    </tableStyle>
    <tableStyle name="Czerwiec - wydatki -style 6" pivot="0" count="2" xr9:uid="{00000000-0011-0000-FFFF-FFFFB5000000}">
      <tableStyleElement type="firstRowStripe" dxfId="129"/>
      <tableStyleElement type="secondRowStripe" dxfId="128"/>
    </tableStyle>
    <tableStyle name="Czerwiec - wydatki -style 7" pivot="0" count="2" xr9:uid="{00000000-0011-0000-FFFF-FFFFB6000000}">
      <tableStyleElement type="firstRowStripe" dxfId="127"/>
      <tableStyleElement type="secondRowStripe" dxfId="126"/>
    </tableStyle>
    <tableStyle name="Czerwiec - wydatki -style 8" pivot="0" count="2" xr9:uid="{00000000-0011-0000-FFFF-FFFFB7000000}">
      <tableStyleElement type="firstRowStripe" dxfId="125"/>
      <tableStyleElement type="secondRowStripe" dxfId="124"/>
    </tableStyle>
    <tableStyle name="Czerwiec - wydatki -style 9" pivot="0" count="2" xr9:uid="{00000000-0011-0000-FFFF-FFFFB8000000}">
      <tableStyleElement type="firstRowStripe" dxfId="123"/>
      <tableStyleElement type="secondRowStripe" dxfId="122"/>
    </tableStyle>
    <tableStyle name="Maj - wydatki-style" pivot="0" count="2" xr9:uid="{00000000-0011-0000-FFFF-FFFFB9000000}">
      <tableStyleElement type="firstRowStripe" dxfId="121"/>
      <tableStyleElement type="secondRowStripe" dxfId="120"/>
    </tableStyle>
    <tableStyle name="Maj - wydatki-style 2" pivot="0" count="2" xr9:uid="{00000000-0011-0000-FFFF-FFFFBA000000}">
      <tableStyleElement type="firstRowStripe" dxfId="119"/>
      <tableStyleElement type="secondRowStripe" dxfId="118"/>
    </tableStyle>
    <tableStyle name="Maj - wydatki-style 3" pivot="0" count="2" xr9:uid="{00000000-0011-0000-FFFF-FFFFBB000000}">
      <tableStyleElement type="firstRowStripe" dxfId="117"/>
      <tableStyleElement type="secondRowStripe" dxfId="116"/>
    </tableStyle>
    <tableStyle name="Maj - wydatki-style 4" pivot="0" count="2" xr9:uid="{00000000-0011-0000-FFFF-FFFFBC000000}">
      <tableStyleElement type="firstRowStripe" dxfId="115"/>
      <tableStyleElement type="secondRowStripe" dxfId="114"/>
    </tableStyle>
    <tableStyle name="Maj - wydatki-style 5" pivot="0" count="2" xr9:uid="{00000000-0011-0000-FFFF-FFFFBD000000}">
      <tableStyleElement type="firstRowStripe" dxfId="113"/>
      <tableStyleElement type="secondRowStripe" dxfId="112"/>
    </tableStyle>
    <tableStyle name="Maj - wydatki-style 6" pivot="0" count="2" xr9:uid="{00000000-0011-0000-FFFF-FFFFBE000000}">
      <tableStyleElement type="firstRowStripe" dxfId="111"/>
      <tableStyleElement type="secondRowStripe" dxfId="110"/>
    </tableStyle>
    <tableStyle name="Maj - wydatki-style 7" pivot="0" count="2" xr9:uid="{00000000-0011-0000-FFFF-FFFFBF000000}">
      <tableStyleElement type="firstRowStripe" dxfId="109"/>
      <tableStyleElement type="secondRowStripe" dxfId="108"/>
    </tableStyle>
    <tableStyle name="Maj - wydatki-style 8" pivot="0" count="2" xr9:uid="{00000000-0011-0000-FFFF-FFFFC0000000}">
      <tableStyleElement type="firstRowStripe" dxfId="107"/>
      <tableStyleElement type="secondRowStripe" dxfId="106"/>
    </tableStyle>
    <tableStyle name="Maj - wydatki-style 9" pivot="0" count="2" xr9:uid="{00000000-0011-0000-FFFF-FFFFC1000000}">
      <tableStyleElement type="firstRowStripe" dxfId="105"/>
      <tableStyleElement type="secondRowStripe" dxfId="104"/>
    </tableStyle>
    <tableStyle name="Kwiecień - wydatki-style" pivot="0" count="2" xr9:uid="{00000000-0011-0000-FFFF-FFFFC2000000}">
      <tableStyleElement type="firstRowStripe" dxfId="103"/>
      <tableStyleElement type="secondRowStripe" dxfId="102"/>
    </tableStyle>
    <tableStyle name="Kwiecień - wydatki-style 2" pivot="0" count="2" xr9:uid="{00000000-0011-0000-FFFF-FFFFC3000000}">
      <tableStyleElement type="firstRowStripe" dxfId="101"/>
      <tableStyleElement type="secondRowStripe" dxfId="100"/>
    </tableStyle>
    <tableStyle name="Kwiecień - wydatki-style 3" pivot="0" count="3" xr9:uid="{00000000-0011-0000-FFFF-FFFFC4000000}">
      <tableStyleElement type="headerRow" dxfId="99"/>
      <tableStyleElement type="firstRowStripe" dxfId="98"/>
      <tableStyleElement type="secondRowStripe" dxfId="97"/>
    </tableStyle>
    <tableStyle name="Jedzenie-style" pivot="0" count="3" xr9:uid="{00000000-0011-0000-FFFF-FFFFC5000000}">
      <tableStyleElement type="headerRow" dxfId="96"/>
      <tableStyleElement type="firstRowStripe" dxfId="95"/>
      <tableStyleElement type="secondRowStripe" dxfId="94"/>
    </tableStyle>
    <tableStyle name="Jedzenie-style 2" pivot="0" count="3" xr9:uid="{00000000-0011-0000-FFFF-FFFFC6000000}">
      <tableStyleElement type="headerRow" dxfId="93"/>
      <tableStyleElement type="firstRowStripe" dxfId="92"/>
      <tableStyleElement type="secondRowStripe" dxfId="91"/>
    </tableStyle>
    <tableStyle name="Jedzenie-style 3" pivot="0" count="2" xr9:uid="{00000000-0011-0000-FFFF-FFFFC7000000}">
      <tableStyleElement type="firstRowStripe" dxfId="90"/>
      <tableStyleElement type="secondRowStripe" dxfId="89"/>
    </tableStyle>
    <tableStyle name="Jedzenie-style 4" pivot="0" count="2" xr9:uid="{00000000-0011-0000-FFFF-FFFFC8000000}">
      <tableStyleElement type="firstRowStripe" dxfId="88"/>
      <tableStyleElement type="secondRowStripe" dxfId="87"/>
    </tableStyle>
    <tableStyle name="Marzec - wydatki-style" pivot="0" count="3" xr9:uid="{00000000-0011-0000-FFFF-FFFFC9000000}">
      <tableStyleElement type="headerRow" dxfId="86"/>
      <tableStyleElement type="firstRowStripe" dxfId="85"/>
      <tableStyleElement type="secondRowStripe" dxfId="84"/>
    </tableStyle>
    <tableStyle name="Marzec - wydatki-style 2" pivot="0" count="2" xr9:uid="{00000000-0011-0000-FFFF-FFFFCA000000}">
      <tableStyleElement type="firstRowStripe" dxfId="83"/>
      <tableStyleElement type="secondRowStripe" dxfId="82"/>
    </tableStyle>
    <tableStyle name="Marzec - wydatki-style 3" pivot="0" count="3" xr9:uid="{00000000-0011-0000-FFFF-FFFFCB000000}">
      <tableStyleElement type="headerRow" dxfId="81"/>
      <tableStyleElement type="firstRowStripe" dxfId="80"/>
      <tableStyleElement type="secondRowStripe" dxfId="79"/>
    </tableStyle>
    <tableStyle name="Luty - wydatki-style" pivot="0" count="3" xr9:uid="{00000000-0011-0000-FFFF-FFFFCC000000}">
      <tableStyleElement type="headerRow" dxfId="78"/>
      <tableStyleElement type="firstRowStripe" dxfId="77"/>
      <tableStyleElement type="secondRowStripe" dxfId="76"/>
    </tableStyle>
    <tableStyle name="Luty - wydatki-style 2" pivot="0" count="2" xr9:uid="{00000000-0011-0000-FFFF-FFFFCD000000}">
      <tableStyleElement type="firstRowStripe" dxfId="75"/>
      <tableStyleElement type="secondRowStripe" dxfId="74"/>
    </tableStyle>
    <tableStyle name="Luty - wydatki-style 3" pivot="0" count="3" xr9:uid="{00000000-0011-0000-FFFF-FFFFCE000000}">
      <tableStyleElement type="headerRow" dxfId="73"/>
      <tableStyleElement type="firstRowStripe" dxfId="72"/>
      <tableStyleElement type="secondRowStripe" dxfId="71"/>
    </tableStyle>
    <tableStyle name="Styczeń - wydatki-style" pivot="0" count="3" xr9:uid="{00000000-0011-0000-FFFF-FFFFCF000000}">
      <tableStyleElement type="headerRow" dxfId="70"/>
      <tableStyleElement type="firstRowStripe" dxfId="69"/>
      <tableStyleElement type="secondRowStripe" dxfId="68"/>
    </tableStyle>
    <tableStyle name="Styczeń - wydatki-style 2" pivot="0" count="2" xr9:uid="{00000000-0011-0000-FFFF-FFFFD0000000}">
      <tableStyleElement type="firstRowStripe" dxfId="67"/>
      <tableStyleElement type="secondRowStripe" dxfId="66"/>
    </tableStyle>
    <tableStyle name="Styczeń - wydatki-style 3" pivot="0" count="3" xr9:uid="{00000000-0011-0000-FFFF-FFFFD1000000}">
      <tableStyleElement type="headerRow" dxfId="65"/>
      <tableStyleElement type="firstRowStripe" dxfId="64"/>
      <tableStyleElement type="secondRowStripe" dxfId="63"/>
    </tableStyle>
    <tableStyle name="Grudzień - wydatki-style" pivot="0" count="3" xr9:uid="{00000000-0011-0000-FFFF-FFFFD2000000}">
      <tableStyleElement type="headerRow" dxfId="62"/>
      <tableStyleElement type="firstRowStripe" dxfId="61"/>
      <tableStyleElement type="secondRowStripe" dxfId="60"/>
    </tableStyle>
    <tableStyle name="Grudzień - wydatki-style 2" pivot="0" count="3" xr9:uid="{00000000-0011-0000-FFFF-FFFFD3000000}">
      <tableStyleElement type="headerRow" dxfId="59"/>
      <tableStyleElement type="firstRowStripe" dxfId="58"/>
      <tableStyleElement type="secondRowStripe" dxfId="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customschemas.google.com/relationships/workbookmetadata" Target="meta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A73DB-65B9-49B0-8082-00486839A40C}" name="Table_1214" displayName="Table_1214" ref="N2:T5">
  <tableColumns count="7">
    <tableColumn id="1" xr3:uid="{9593ADD6-2862-4781-967B-3BCC9F5CFE8E}" name="Kolumna nr 1"/>
    <tableColumn id="2" xr3:uid="{ECFA9A51-BCB4-4AB0-8E93-CDF0A8E50CF2}" name="Wypłaty"/>
    <tableColumn id="3" xr3:uid="{09AF02B8-E031-46CD-BD2A-163FD9EA1395}" name="Suma">
      <calculatedColumnFormula>Q3+R3+S3</calculatedColumnFormula>
    </tableColumn>
    <tableColumn id="4" xr3:uid="{D9A9517A-C911-45C5-A300-E38D7A812362}" name="Koszty stałe"/>
    <tableColumn id="5" xr3:uid="{7BC45372-4257-4DA2-B81C-50983004B0F8}" name="Koszty dyn."/>
    <tableColumn id="6" xr3:uid="{55EA9046-0158-49EB-8880-D8E358501E78}" name="Pozostałe"/>
    <tableColumn id="7" xr3:uid="{C2028737-3572-4592-8DA3-BED21C017ED8}" name="Podsumowanie"/>
  </tableColumns>
  <tableStyleInfo name="Kwiecień26 - wydatk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FCAC70AF-1D52-4DFD-914C-5D97DA04A676}" name="Table_2215" displayName="Table_2215" ref="B3:G14" headerRowCount="0">
  <tableColumns count="6">
    <tableColumn id="1" xr3:uid="{62C35375-695D-4929-99F0-B4CF5C42CE79}" name="Column1"/>
    <tableColumn id="2" xr3:uid="{AB03CDE6-472C-4039-9D29-E10B820F2683}" name="Column2"/>
    <tableColumn id="3" xr3:uid="{920BD49E-0094-4F2B-B984-01F27CCFEE15}" name="Column3"/>
    <tableColumn id="4" xr3:uid="{76C595E3-518E-42F4-BFD7-8B723D6312EB}" name="Column4"/>
    <tableColumn id="5" xr3:uid="{1D323569-5FFD-4BCD-B08D-B0C605C72BBB}" name="Column5"/>
    <tableColumn id="6" xr3:uid="{30ABBAF7-2D2D-49D2-A49F-C76D2FECAF47}" name="Column6"/>
  </tableColumns>
  <tableStyleInfo name="Kwiecień26 - wydatki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C20C7738-2851-43B2-A4F1-3FA28964B5D7}" name="Table_3216" displayName="Table_3216" ref="H3:L17" headerRowCount="0">
  <tableColumns count="5">
    <tableColumn id="1" xr3:uid="{CD4333FA-A6B9-4689-AA83-7FE71A3CDBCE}" name="Column1"/>
    <tableColumn id="2" xr3:uid="{5B05316D-691C-4936-990F-CC15B8A11B7B}" name="Column2"/>
    <tableColumn id="3" xr3:uid="{DD6AD388-2AE9-4752-9A44-129B298F61CB}" name="Column3"/>
    <tableColumn id="4" xr3:uid="{A22E1F6E-F509-488A-BC61-3744D92941E8}" name="Column4"/>
    <tableColumn id="5" xr3:uid="{58DB7484-90CF-4A8E-A842-6814DF14F22C}" name="Column5"/>
  </tableColumns>
  <tableStyleInfo name="Kwiecień26 - wydatki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F27D26BF-8737-4753-A0A8-63A7BA2A14D8}" name="Table_4217" displayName="Table_4217" ref="B17:F21" headerRowCount="0">
  <tableColumns count="5">
    <tableColumn id="1" xr3:uid="{2B45466C-996A-4C6E-8879-925DC1D644E2}" name="Column1"/>
    <tableColumn id="2" xr3:uid="{47747B35-2FBE-4515-BFF1-466068377938}" name="Column2"/>
    <tableColumn id="3" xr3:uid="{6111CA6E-DDF6-4F2A-ABC4-2760D5565182}" name="Column3"/>
    <tableColumn id="4" xr3:uid="{5F2C6B8F-A693-4587-A22E-398E5D5466DC}" name="Column4"/>
    <tableColumn id="5" xr3:uid="{DB88B1C2-9BDF-45E0-BDF2-2FF61BFE1070}" name="Column5"/>
  </tableColumns>
  <tableStyleInfo name="Kwiecień26 - wydatki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AFCD6A7F-8250-4185-AC00-894DF97DE6AF}" name="Table_5218" displayName="Table_5218" ref="H20:L29" headerRowCount="0">
  <tableColumns count="5">
    <tableColumn id="1" xr3:uid="{F612735A-A28C-46FF-865F-EC77EB553BFD}" name="Column1"/>
    <tableColumn id="2" xr3:uid="{C79233A2-1AA4-4A42-92BF-2883E9B2F9BB}" name="Column2"/>
    <tableColumn id="3" xr3:uid="{B6C2A3DF-835E-4F14-88C7-6D441298C4DC}" name="Column3"/>
    <tableColumn id="4" xr3:uid="{0CD815C6-6CD4-4619-AC70-0A1A34E31B1E}" name="Column4"/>
    <tableColumn id="5" xr3:uid="{249327AD-FF5C-4CF1-BA88-4442651A9E45}" name="Column5"/>
  </tableColumns>
  <tableStyleInfo name="Kwiecień26 - wydatki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A10907C9-5158-41CB-9D18-8A11A9E32DBA}" name="Table_6219" displayName="Table_6219" ref="B24:F34" headerRowCount="0">
  <tableColumns count="5">
    <tableColumn id="1" xr3:uid="{16A8AA9A-F6D1-4944-9002-170239F54FCA}" name="Column1"/>
    <tableColumn id="2" xr3:uid="{EC10D4A3-F713-4886-9831-BBA8CA8D0AAE}" name="Column2"/>
    <tableColumn id="3" xr3:uid="{3251B935-50F8-4767-BED8-3C3B93D4B61C}" name="Column3"/>
    <tableColumn id="4" xr3:uid="{D99D000F-F2C1-4C40-82D0-84AFE29CEB51}" name="Column4"/>
    <tableColumn id="5" xr3:uid="{D828187A-6791-464B-A83E-8A4A86CBC640}" name="Column5"/>
  </tableColumns>
  <tableStyleInfo name="Kwiecień26 - wydatki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5D1FB22F-E9D2-41D7-BCF7-F33FA2EBC8D7}" name="Table_7220" displayName="Table_7220" ref="H32:L41" headerRowCount="0">
  <tableColumns count="5">
    <tableColumn id="1" xr3:uid="{672927F2-2B93-4947-B5D6-1833020EF35B}" name="Column1"/>
    <tableColumn id="2" xr3:uid="{634FA5E0-85B5-4307-B79E-49ABF13A5577}" name="Column2"/>
    <tableColumn id="3" xr3:uid="{B279F159-CA9B-4BA2-8B5C-646830B9C301}" name="Column3"/>
    <tableColumn id="4" xr3:uid="{496EF6EA-55B8-4561-A975-DA268DA50B1B}" name="Column4"/>
    <tableColumn id="5" xr3:uid="{DFE88595-8E89-48D6-BF5F-776F2E7013AE}" name="Column5"/>
  </tableColumns>
  <tableStyleInfo name="Kwiecień26 - wydatki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N2:T5">
  <tableColumns count="7">
    <tableColumn id="1" xr3:uid="{00000000-0010-0000-0000-000001000000}" name="Kolumna nr 1"/>
    <tableColumn id="2" xr3:uid="{00000000-0010-0000-0000-000002000000}" name="Wypłaty"/>
    <tableColumn id="3" xr3:uid="{00000000-0010-0000-0000-000003000000}" name="Suma"/>
    <tableColumn id="4" xr3:uid="{00000000-0010-0000-0000-000004000000}" name="Koszty stałe"/>
    <tableColumn id="5" xr3:uid="{00000000-0010-0000-0000-000005000000}" name="Koszty dyn."/>
    <tableColumn id="6" xr3:uid="{00000000-0010-0000-0000-000006000000}" name="Pozostałe"/>
    <tableColumn id="7" xr3:uid="{00000000-0010-0000-0000-000007000000}" name="Podsumowanie"/>
  </tableColumns>
  <tableStyleInfo name="Kwiecień26 - wydatki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3:G14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Kwiecień26 - wydatki-style 2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H3:L17" headerRowCount="0">
  <tableColumns count="5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</tableColumns>
  <tableStyleInfo name="Kwiecień26 - wydatki-style 3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17:F21" headerRowCount="0">
  <tableColumns count="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</tableColumns>
  <tableStyleInfo name="Kwiecień26 - wydatki-style 4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H20:L29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Kwiecień26 - wydatki-style 5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24:F34" headerRowCount="0">
  <tableColumns count="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</tableColumns>
  <tableStyleInfo name="Kwiecień26 - wydatki-style 6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H32:L41" headerRowCount="0">
  <tableColumns count="5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</tableColumns>
  <tableStyleInfo name="Kwiecień26 - wydatki-style 7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N2:T5">
  <tableColumns count="7">
    <tableColumn id="1" xr3:uid="{00000000-0010-0000-0700-000001000000}" name="Kolumna nr 1"/>
    <tableColumn id="2" xr3:uid="{00000000-0010-0000-0700-000002000000}" name="Wypłaty"/>
    <tableColumn id="3" xr3:uid="{00000000-0010-0000-0700-000003000000}" name="Suma"/>
    <tableColumn id="4" xr3:uid="{00000000-0010-0000-0700-000004000000}" name="Koszty stałe"/>
    <tableColumn id="5" xr3:uid="{00000000-0010-0000-0700-000005000000}" name="Koszty dyn."/>
    <tableColumn id="6" xr3:uid="{00000000-0010-0000-0700-000006000000}" name="Pozostałe"/>
    <tableColumn id="7" xr3:uid="{00000000-0010-0000-0700-000007000000}" name="Podsumowanie"/>
  </tableColumns>
  <tableStyleInfo name="Marzec26 - wydatki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3:G14" headerRowCount="0">
  <tableColumns count="6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</tableColumns>
  <tableStyleInfo name="Marzec26 - wydatki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H3:L17" headerRowCount="0">
  <tableColumns count="5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</tableColumns>
  <tableStyleInfo name="Marzec26 - wydatki-style 3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17:F21" headerRowCount="0">
  <tableColumns count="5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</tableColumns>
  <tableStyleInfo name="Marzec26 - wydatki-style 4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H20:L29" headerRowCount="0">
  <tableColumns count="5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</tableColumns>
  <tableStyleInfo name="Marzec26 - wydatki-style 5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24:F34" headerRowCount="0">
  <tableColumns count="5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</tableColumns>
  <tableStyleInfo name="Marzec26 - wydatki-style 6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H32:L41" headerRowCount="0">
  <tableColumns count="5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</tableColumns>
  <tableStyleInfo name="Marzec26 - wydatki-style 7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N2:T5">
  <tableColumns count="7">
    <tableColumn id="1" xr3:uid="{00000000-0010-0000-0E00-000001000000}" name="Kolumna nr 1"/>
    <tableColumn id="2" xr3:uid="{00000000-0010-0000-0E00-000002000000}" name="Wypłaty"/>
    <tableColumn id="3" xr3:uid="{00000000-0010-0000-0E00-000003000000}" name="Suma"/>
    <tableColumn id="4" xr3:uid="{00000000-0010-0000-0E00-000004000000}" name="Koszty stałe"/>
    <tableColumn id="5" xr3:uid="{00000000-0010-0000-0E00-000005000000}" name="Koszty dyn."/>
    <tableColumn id="6" xr3:uid="{00000000-0010-0000-0E00-000006000000}" name="Pozostałe"/>
    <tableColumn id="7" xr3:uid="{00000000-0010-0000-0E00-000007000000}" name="Podsumowanie"/>
  </tableColumns>
  <tableStyleInfo name="Luty26 - wydatki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B3:G14" headerRowCount="0">
  <tableColumns count="6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  <tableColumn id="5" xr3:uid="{00000000-0010-0000-0F00-000005000000}" name="Column5"/>
    <tableColumn id="6" xr3:uid="{00000000-0010-0000-0F00-000006000000}" name="Column6"/>
  </tableColumns>
  <tableStyleInfo name="Luty26 - wydatki-style 2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H3:L17" headerRowCount="0">
  <tableColumns count="5">
    <tableColumn id="1" xr3:uid="{00000000-0010-0000-1000-000001000000}" name="Column1"/>
    <tableColumn id="2" xr3:uid="{00000000-0010-0000-1000-000002000000}" name="Column2"/>
    <tableColumn id="3" xr3:uid="{00000000-0010-0000-1000-000003000000}" name="Column3"/>
    <tableColumn id="4" xr3:uid="{00000000-0010-0000-1000-000004000000}" name="Column4"/>
    <tableColumn id="5" xr3:uid="{00000000-0010-0000-1000-000005000000}" name="Column5"/>
  </tableColumns>
  <tableStyleInfo name="Luty26 - wydatki-style 3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B17:F21" headerRowCount="0">
  <tableColumns count="5">
    <tableColumn id="1" xr3:uid="{00000000-0010-0000-1100-000001000000}" name="Column1"/>
    <tableColumn id="2" xr3:uid="{00000000-0010-0000-1100-000002000000}" name="Column2"/>
    <tableColumn id="3" xr3:uid="{00000000-0010-0000-1100-000003000000}" name="Column3"/>
    <tableColumn id="4" xr3:uid="{00000000-0010-0000-1100-000004000000}" name="Column4"/>
    <tableColumn id="5" xr3:uid="{00000000-0010-0000-1100-000005000000}" name="Column5"/>
  </tableColumns>
  <tableStyleInfo name="Luty26 - wydatki-style 4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H20:L29" headerRowCount="0">
  <tableColumns count="5">
    <tableColumn id="1" xr3:uid="{00000000-0010-0000-1200-000001000000}" name="Column1"/>
    <tableColumn id="2" xr3:uid="{00000000-0010-0000-1200-000002000000}" name="Column2"/>
    <tableColumn id="3" xr3:uid="{00000000-0010-0000-1200-000003000000}" name="Column3"/>
    <tableColumn id="4" xr3:uid="{00000000-0010-0000-1200-000004000000}" name="Column4"/>
    <tableColumn id="5" xr3:uid="{00000000-0010-0000-1200-000005000000}" name="Column5"/>
  </tableColumns>
  <tableStyleInfo name="Luty26 - wydatki-style 5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B24:F34" headerRowCount="0">
  <tableColumns count="5">
    <tableColumn id="1" xr3:uid="{00000000-0010-0000-1300-000001000000}" name="Column1"/>
    <tableColumn id="2" xr3:uid="{00000000-0010-0000-1300-000002000000}" name="Column2"/>
    <tableColumn id="3" xr3:uid="{00000000-0010-0000-1300-000003000000}" name="Column3"/>
    <tableColumn id="4" xr3:uid="{00000000-0010-0000-1300-000004000000}" name="Column4"/>
    <tableColumn id="5" xr3:uid="{00000000-0010-0000-1300-000005000000}" name="Column5"/>
  </tableColumns>
  <tableStyleInfo name="Luty26 - wydatki-style 6" showFirstColumn="1" showLastColumn="1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H32:L41" headerRowCount="0">
  <tableColumns count="5">
    <tableColumn id="1" xr3:uid="{00000000-0010-0000-1400-000001000000}" name="Column1"/>
    <tableColumn id="2" xr3:uid="{00000000-0010-0000-1400-000002000000}" name="Column2"/>
    <tableColumn id="3" xr3:uid="{00000000-0010-0000-1400-000003000000}" name="Column3"/>
    <tableColumn id="4" xr3:uid="{00000000-0010-0000-1400-000004000000}" name="Column4"/>
    <tableColumn id="5" xr3:uid="{00000000-0010-0000-1400-000005000000}" name="Column5"/>
  </tableColumns>
  <tableStyleInfo name="Luty26 - wydatki-style 7" showFirstColumn="1" showLastColumn="1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N2:T5">
  <tableColumns count="7">
    <tableColumn id="1" xr3:uid="{00000000-0010-0000-1500-000001000000}" name="Kolumna nr 1"/>
    <tableColumn id="2" xr3:uid="{00000000-0010-0000-1500-000002000000}" name="Wypłaty"/>
    <tableColumn id="3" xr3:uid="{00000000-0010-0000-1500-000003000000}" name="Suma"/>
    <tableColumn id="4" xr3:uid="{00000000-0010-0000-1500-000004000000}" name="Koszty stałe"/>
    <tableColumn id="5" xr3:uid="{00000000-0010-0000-1500-000005000000}" name="Koszty dyn."/>
    <tableColumn id="6" xr3:uid="{00000000-0010-0000-1500-000006000000}" name="Pozostałe"/>
    <tableColumn id="7" xr3:uid="{00000000-0010-0000-1500-000007000000}" name="Podsumowanie"/>
  </tableColumns>
  <tableStyleInfo name="Styczeń26 - wydatki-style" showFirstColumn="1" showLastColumn="1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B3:G14" headerRowCount="0">
  <tableColumns count="6">
    <tableColumn id="1" xr3:uid="{00000000-0010-0000-1600-000001000000}" name="Column1"/>
    <tableColumn id="2" xr3:uid="{00000000-0010-0000-1600-000002000000}" name="Column2"/>
    <tableColumn id="3" xr3:uid="{00000000-0010-0000-1600-000003000000}" name="Column3"/>
    <tableColumn id="4" xr3:uid="{00000000-0010-0000-1600-000004000000}" name="Column4"/>
    <tableColumn id="5" xr3:uid="{00000000-0010-0000-1600-000005000000}" name="Column5"/>
    <tableColumn id="6" xr3:uid="{00000000-0010-0000-1600-000006000000}" name="Column6"/>
  </tableColumns>
  <tableStyleInfo name="Styczeń26 - wydatki-style 2" showFirstColumn="1" showLastColumn="1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H3:L17" headerRowCount="0">
  <tableColumns count="5">
    <tableColumn id="1" xr3:uid="{00000000-0010-0000-1700-000001000000}" name="Column1"/>
    <tableColumn id="2" xr3:uid="{00000000-0010-0000-1700-000002000000}" name="Column2"/>
    <tableColumn id="3" xr3:uid="{00000000-0010-0000-1700-000003000000}" name="Column3"/>
    <tableColumn id="4" xr3:uid="{00000000-0010-0000-1700-000004000000}" name="Column4"/>
    <tableColumn id="5" xr3:uid="{00000000-0010-0000-1700-000005000000}" name="Column5"/>
  </tableColumns>
  <tableStyleInfo name="Styczeń26 - wydatki-style 3" showFirstColumn="1" showLastColumn="1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5" displayName="Table_25" ref="B17:F21" headerRowCount="0">
  <tableColumns count="5">
    <tableColumn id="1" xr3:uid="{00000000-0010-0000-1800-000001000000}" name="Column1"/>
    <tableColumn id="2" xr3:uid="{00000000-0010-0000-1800-000002000000}" name="Column2"/>
    <tableColumn id="3" xr3:uid="{00000000-0010-0000-1800-000003000000}" name="Column3"/>
    <tableColumn id="4" xr3:uid="{00000000-0010-0000-1800-000004000000}" name="Column4"/>
    <tableColumn id="5" xr3:uid="{00000000-0010-0000-1800-000005000000}" name="Column5"/>
  </tableColumns>
  <tableStyleInfo name="Styczeń26 - wydatki-style 4" showFirstColumn="1" showLastColumn="1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6" displayName="Table_26" ref="H20:L29" headerRowCount="0">
  <tableColumns count="5">
    <tableColumn id="1" xr3:uid="{00000000-0010-0000-1900-000001000000}" name="Column1"/>
    <tableColumn id="2" xr3:uid="{00000000-0010-0000-1900-000002000000}" name="Column2"/>
    <tableColumn id="3" xr3:uid="{00000000-0010-0000-1900-000003000000}" name="Column3"/>
    <tableColumn id="4" xr3:uid="{00000000-0010-0000-1900-000004000000}" name="Column4"/>
    <tableColumn id="5" xr3:uid="{00000000-0010-0000-1900-000005000000}" name="Column5"/>
  </tableColumns>
  <tableStyleInfo name="Styczeń26 - wydatki-style 5" showFirstColumn="1" showLastColumn="1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7" displayName="Table_27" ref="B24:F34" headerRowCount="0">
  <tableColumns count="5">
    <tableColumn id="1" xr3:uid="{00000000-0010-0000-1A00-000001000000}" name="Column1"/>
    <tableColumn id="2" xr3:uid="{00000000-0010-0000-1A00-000002000000}" name="Column2"/>
    <tableColumn id="3" xr3:uid="{00000000-0010-0000-1A00-000003000000}" name="Column3"/>
    <tableColumn id="4" xr3:uid="{00000000-0010-0000-1A00-000004000000}" name="Column4"/>
    <tableColumn id="5" xr3:uid="{00000000-0010-0000-1A00-000005000000}" name="Column5"/>
  </tableColumns>
  <tableStyleInfo name="Styczeń26 - wydatki-style 6" showFirstColumn="1" showLastColumn="1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able_28" displayName="Table_28" ref="H32:L41" headerRowCount="0">
  <tableColumns count="5">
    <tableColumn id="1" xr3:uid="{00000000-0010-0000-1B00-000001000000}" name="Column1"/>
    <tableColumn id="2" xr3:uid="{00000000-0010-0000-1B00-000002000000}" name="Column2"/>
    <tableColumn id="3" xr3:uid="{00000000-0010-0000-1B00-000003000000}" name="Column3"/>
    <tableColumn id="4" xr3:uid="{00000000-0010-0000-1B00-000004000000}" name="Column4"/>
    <tableColumn id="5" xr3:uid="{00000000-0010-0000-1B00-000005000000}" name="Column5"/>
  </tableColumns>
  <tableStyleInfo name="Styczeń26 - wydatki-style 7" showFirstColumn="1" showLastColumn="1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able_29" displayName="Table_29" ref="N2:T5">
  <tableColumns count="7">
    <tableColumn id="1" xr3:uid="{00000000-0010-0000-1C00-000001000000}" name="Kolumna nr 1"/>
    <tableColumn id="2" xr3:uid="{00000000-0010-0000-1C00-000002000000}" name="Wypłaty"/>
    <tableColumn id="3" xr3:uid="{00000000-0010-0000-1C00-000003000000}" name="Suma"/>
    <tableColumn id="4" xr3:uid="{00000000-0010-0000-1C00-000004000000}" name="Koszty stałe"/>
    <tableColumn id="5" xr3:uid="{00000000-0010-0000-1C00-000005000000}" name="Koszty dyn."/>
    <tableColumn id="6" xr3:uid="{00000000-0010-0000-1C00-000006000000}" name="Pozostałe"/>
    <tableColumn id="7" xr3:uid="{00000000-0010-0000-1C00-000007000000}" name="Podsumowanie"/>
  </tableColumns>
  <tableStyleInfo name="Grudzień25- wydatki-style" showFirstColumn="1" showLastColumn="1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able_30" displayName="Table_30" ref="B3:G14" headerRowCount="0">
  <tableColumns count="6">
    <tableColumn id="1" xr3:uid="{00000000-0010-0000-1D00-000001000000}" name="Column1"/>
    <tableColumn id="2" xr3:uid="{00000000-0010-0000-1D00-000002000000}" name="Column2"/>
    <tableColumn id="3" xr3:uid="{00000000-0010-0000-1D00-000003000000}" name="Column3"/>
    <tableColumn id="4" xr3:uid="{00000000-0010-0000-1D00-000004000000}" name="Column4"/>
    <tableColumn id="5" xr3:uid="{00000000-0010-0000-1D00-000005000000}" name="Column5"/>
    <tableColumn id="6" xr3:uid="{00000000-0010-0000-1D00-000006000000}" name="Column6"/>
  </tableColumns>
  <tableStyleInfo name="Grudzień25- wydatki-style 2" showFirstColumn="1" showLastColumn="1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able_31" displayName="Table_31" ref="H3:L17" headerRowCount="0">
  <tableColumns count="5">
    <tableColumn id="1" xr3:uid="{00000000-0010-0000-1E00-000001000000}" name="Column1"/>
    <tableColumn id="2" xr3:uid="{00000000-0010-0000-1E00-000002000000}" name="Column2"/>
    <tableColumn id="3" xr3:uid="{00000000-0010-0000-1E00-000003000000}" name="Column3"/>
    <tableColumn id="4" xr3:uid="{00000000-0010-0000-1E00-000004000000}" name="Column4"/>
    <tableColumn id="5" xr3:uid="{00000000-0010-0000-1E00-000005000000}" name="Column5"/>
  </tableColumns>
  <tableStyleInfo name="Grudzień25- wydatki-style 3" showFirstColumn="1" showLastColumn="1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able_32" displayName="Table_32" ref="B17:F21" headerRowCount="0">
  <tableColumns count="5">
    <tableColumn id="1" xr3:uid="{00000000-0010-0000-1F00-000001000000}" name="Column1"/>
    <tableColumn id="2" xr3:uid="{00000000-0010-0000-1F00-000002000000}" name="Column2"/>
    <tableColumn id="3" xr3:uid="{00000000-0010-0000-1F00-000003000000}" name="Column3"/>
    <tableColumn id="4" xr3:uid="{00000000-0010-0000-1F00-000004000000}" name="Column4"/>
    <tableColumn id="5" xr3:uid="{00000000-0010-0000-1F00-000005000000}" name="Column5"/>
  </tableColumns>
  <tableStyleInfo name="Grudzień25- wydatki-style 4" showFirstColumn="1" showLastColumn="1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able_33" displayName="Table_33" ref="H20:L29" headerRowCount="0">
  <tableColumns count="5">
    <tableColumn id="1" xr3:uid="{00000000-0010-0000-2000-000001000000}" name="Column1"/>
    <tableColumn id="2" xr3:uid="{00000000-0010-0000-2000-000002000000}" name="Column2"/>
    <tableColumn id="3" xr3:uid="{00000000-0010-0000-2000-000003000000}" name="Column3"/>
    <tableColumn id="4" xr3:uid="{00000000-0010-0000-2000-000004000000}" name="Column4"/>
    <tableColumn id="5" xr3:uid="{00000000-0010-0000-2000-000005000000}" name="Column5"/>
  </tableColumns>
  <tableStyleInfo name="Grudzień25- wydatki-style 5" showFirstColumn="1" showLastColumn="1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able_34" displayName="Table_34" ref="B24:F34" headerRowCount="0">
  <tableColumns count="5">
    <tableColumn id="1" xr3:uid="{00000000-0010-0000-2100-000001000000}" name="Column1"/>
    <tableColumn id="2" xr3:uid="{00000000-0010-0000-2100-000002000000}" name="Column2"/>
    <tableColumn id="3" xr3:uid="{00000000-0010-0000-2100-000003000000}" name="Column3"/>
    <tableColumn id="4" xr3:uid="{00000000-0010-0000-2100-000004000000}" name="Column4"/>
    <tableColumn id="5" xr3:uid="{00000000-0010-0000-2100-000005000000}" name="Column5"/>
  </tableColumns>
  <tableStyleInfo name="Grudzień25- wydatki-style 6" showFirstColumn="1" showLastColumn="1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able_35" displayName="Table_35" ref="H32:L41" headerRowCount="0">
  <tableColumns count="5">
    <tableColumn id="1" xr3:uid="{00000000-0010-0000-2200-000001000000}" name="Column1"/>
    <tableColumn id="2" xr3:uid="{00000000-0010-0000-2200-000002000000}" name="Column2"/>
    <tableColumn id="3" xr3:uid="{00000000-0010-0000-2200-000003000000}" name="Column3"/>
    <tableColumn id="4" xr3:uid="{00000000-0010-0000-2200-000004000000}" name="Column4"/>
    <tableColumn id="5" xr3:uid="{00000000-0010-0000-2200-000005000000}" name="Column5"/>
  </tableColumns>
  <tableStyleInfo name="Grudzień25- wydatki-style 7" showFirstColumn="1" showLastColumn="1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able_36" displayName="Table_36" ref="N2:T5">
  <tableColumns count="7">
    <tableColumn id="1" xr3:uid="{00000000-0010-0000-2300-000001000000}" name="Kolumna nr 1"/>
    <tableColumn id="2" xr3:uid="{00000000-0010-0000-2300-000002000000}" name="Wypłaty"/>
    <tableColumn id="3" xr3:uid="{00000000-0010-0000-2300-000003000000}" name="Suma"/>
    <tableColumn id="4" xr3:uid="{00000000-0010-0000-2300-000004000000}" name="Koszty stałe"/>
    <tableColumn id="5" xr3:uid="{00000000-0010-0000-2300-000005000000}" name="Koszty dyn."/>
    <tableColumn id="6" xr3:uid="{00000000-0010-0000-2300-000006000000}" name="Pozostałe"/>
    <tableColumn id="7" xr3:uid="{00000000-0010-0000-2300-000007000000}" name="Podsumowanie"/>
  </tableColumns>
  <tableStyleInfo name="Listopad25- wydatki-style" showFirstColumn="1" showLastColumn="1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able_37" displayName="Table_37" ref="B3:G14" headerRowCount="0">
  <tableColumns count="6">
    <tableColumn id="1" xr3:uid="{00000000-0010-0000-2400-000001000000}" name="Column1"/>
    <tableColumn id="2" xr3:uid="{00000000-0010-0000-2400-000002000000}" name="Column2"/>
    <tableColumn id="3" xr3:uid="{00000000-0010-0000-2400-000003000000}" name="Column3"/>
    <tableColumn id="4" xr3:uid="{00000000-0010-0000-2400-000004000000}" name="Column4"/>
    <tableColumn id="5" xr3:uid="{00000000-0010-0000-2400-000005000000}" name="Column5"/>
    <tableColumn id="6" xr3:uid="{00000000-0010-0000-2400-000006000000}" name="Column6"/>
  </tableColumns>
  <tableStyleInfo name="Listopad25- wydatki-style 2" showFirstColumn="1" showLastColumn="1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able_38" displayName="Table_38" ref="H3:L17" headerRowCount="0">
  <tableColumns count="5">
    <tableColumn id="1" xr3:uid="{00000000-0010-0000-2500-000001000000}" name="Column1"/>
    <tableColumn id="2" xr3:uid="{00000000-0010-0000-2500-000002000000}" name="Column2"/>
    <tableColumn id="3" xr3:uid="{00000000-0010-0000-2500-000003000000}" name="Column3"/>
    <tableColumn id="4" xr3:uid="{00000000-0010-0000-2500-000004000000}" name="Column4"/>
    <tableColumn id="5" xr3:uid="{00000000-0010-0000-2500-000005000000}" name="Column5"/>
  </tableColumns>
  <tableStyleInfo name="Listopad25- wydatki-style 3" showFirstColumn="1" showLastColumn="1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able_39" displayName="Table_39" ref="B17:F21" headerRowCount="0">
  <tableColumns count="5">
    <tableColumn id="1" xr3:uid="{00000000-0010-0000-2600-000001000000}" name="Column1"/>
    <tableColumn id="2" xr3:uid="{00000000-0010-0000-2600-000002000000}" name="Column2"/>
    <tableColumn id="3" xr3:uid="{00000000-0010-0000-2600-000003000000}" name="Column3"/>
    <tableColumn id="4" xr3:uid="{00000000-0010-0000-2600-000004000000}" name="Column4"/>
    <tableColumn id="5" xr3:uid="{00000000-0010-0000-2600-000005000000}" name="Column5"/>
  </tableColumns>
  <tableStyleInfo name="Listopad25- wydatki-style 4" showFirstColumn="1" showLastColumn="1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able_40" displayName="Table_40" ref="H20:L29" headerRowCount="0">
  <tableColumns count="5">
    <tableColumn id="1" xr3:uid="{00000000-0010-0000-2700-000001000000}" name="Column1"/>
    <tableColumn id="2" xr3:uid="{00000000-0010-0000-2700-000002000000}" name="Column2"/>
    <tableColumn id="3" xr3:uid="{00000000-0010-0000-2700-000003000000}" name="Column3"/>
    <tableColumn id="4" xr3:uid="{00000000-0010-0000-2700-000004000000}" name="Column4"/>
    <tableColumn id="5" xr3:uid="{00000000-0010-0000-2700-000005000000}" name="Column5"/>
  </tableColumns>
  <tableStyleInfo name="Listopad25- wydatki-style 5" showFirstColumn="1" showLastColumn="1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able_41" displayName="Table_41" ref="B24:F34" headerRowCount="0">
  <tableColumns count="5">
    <tableColumn id="1" xr3:uid="{00000000-0010-0000-2800-000001000000}" name="Column1"/>
    <tableColumn id="2" xr3:uid="{00000000-0010-0000-2800-000002000000}" name="Column2"/>
    <tableColumn id="3" xr3:uid="{00000000-0010-0000-2800-000003000000}" name="Column3"/>
    <tableColumn id="4" xr3:uid="{00000000-0010-0000-2800-000004000000}" name="Column4"/>
    <tableColumn id="5" xr3:uid="{00000000-0010-0000-2800-000005000000}" name="Column5"/>
  </tableColumns>
  <tableStyleInfo name="Listopad25- wydatki-style 6" showFirstColumn="1" showLastColumn="1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able_42" displayName="Table_42" ref="H32:L41" headerRowCount="0">
  <tableColumns count="5">
    <tableColumn id="1" xr3:uid="{00000000-0010-0000-2900-000001000000}" name="Column1"/>
    <tableColumn id="2" xr3:uid="{00000000-0010-0000-2900-000002000000}" name="Column2"/>
    <tableColumn id="3" xr3:uid="{00000000-0010-0000-2900-000003000000}" name="Column3"/>
    <tableColumn id="4" xr3:uid="{00000000-0010-0000-2900-000004000000}" name="Column4"/>
    <tableColumn id="5" xr3:uid="{00000000-0010-0000-2900-000005000000}" name="Column5"/>
  </tableColumns>
  <tableStyleInfo name="Listopad25- wydatki-style 7" showFirstColumn="1" showLastColumn="1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able_43" displayName="Table_43" ref="N2:T5">
  <tableColumns count="7">
    <tableColumn id="1" xr3:uid="{00000000-0010-0000-2A00-000001000000}" name="Kolumna nr 1"/>
    <tableColumn id="2" xr3:uid="{00000000-0010-0000-2A00-000002000000}" name="Wypłaty"/>
    <tableColumn id="3" xr3:uid="{00000000-0010-0000-2A00-000003000000}" name="Suma"/>
    <tableColumn id="4" xr3:uid="{00000000-0010-0000-2A00-000004000000}" name="Koszty stałe"/>
    <tableColumn id="5" xr3:uid="{00000000-0010-0000-2A00-000005000000}" name="Koszty dyn."/>
    <tableColumn id="6" xr3:uid="{00000000-0010-0000-2A00-000006000000}" name="Pozostałe"/>
    <tableColumn id="7" xr3:uid="{00000000-0010-0000-2A00-000007000000}" name="Podsumowanie"/>
  </tableColumns>
  <tableStyleInfo name="Październik25- wydatki-style" showFirstColumn="1" showLastColumn="1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able_44" displayName="Table_44" ref="B3:F14" headerRowCount="0">
  <tableColumns count="5">
    <tableColumn id="1" xr3:uid="{00000000-0010-0000-2B00-000001000000}" name="Column1"/>
    <tableColumn id="2" xr3:uid="{00000000-0010-0000-2B00-000002000000}" name="Column2"/>
    <tableColumn id="3" xr3:uid="{00000000-0010-0000-2B00-000003000000}" name="Column3"/>
    <tableColumn id="4" xr3:uid="{00000000-0010-0000-2B00-000004000000}" name="Column4"/>
    <tableColumn id="5" xr3:uid="{00000000-0010-0000-2B00-000005000000}" name="Column5"/>
  </tableColumns>
  <tableStyleInfo name="Październik25- wydatki-style 2" showFirstColumn="1" showLastColumn="1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able_45" displayName="Table_45" ref="H3:L17" headerRowCount="0">
  <tableColumns count="5">
    <tableColumn id="1" xr3:uid="{00000000-0010-0000-2C00-000001000000}" name="Column1"/>
    <tableColumn id="2" xr3:uid="{00000000-0010-0000-2C00-000002000000}" name="Column2"/>
    <tableColumn id="3" xr3:uid="{00000000-0010-0000-2C00-000003000000}" name="Column3"/>
    <tableColumn id="4" xr3:uid="{00000000-0010-0000-2C00-000004000000}" name="Column4"/>
    <tableColumn id="5" xr3:uid="{00000000-0010-0000-2C00-000005000000}" name="Column5"/>
  </tableColumns>
  <tableStyleInfo name="Październik25- wydatki-style 3" showFirstColumn="1" showLastColumn="1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able_46" displayName="Table_46" ref="B17:F21" headerRowCount="0">
  <tableColumns count="5">
    <tableColumn id="1" xr3:uid="{00000000-0010-0000-2D00-000001000000}" name="Column1"/>
    <tableColumn id="2" xr3:uid="{00000000-0010-0000-2D00-000002000000}" name="Column2"/>
    <tableColumn id="3" xr3:uid="{00000000-0010-0000-2D00-000003000000}" name="Column3"/>
    <tableColumn id="4" xr3:uid="{00000000-0010-0000-2D00-000004000000}" name="Column4"/>
    <tableColumn id="5" xr3:uid="{00000000-0010-0000-2D00-000005000000}" name="Column5"/>
  </tableColumns>
  <tableStyleInfo name="Październik25- wydatki-style 4" showFirstColumn="1" showLastColumn="1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Table_47" displayName="Table_47" ref="H20:L29" headerRowCount="0">
  <tableColumns count="5">
    <tableColumn id="1" xr3:uid="{00000000-0010-0000-2E00-000001000000}" name="Column1"/>
    <tableColumn id="2" xr3:uid="{00000000-0010-0000-2E00-000002000000}" name="Column2"/>
    <tableColumn id="3" xr3:uid="{00000000-0010-0000-2E00-000003000000}" name="Column3"/>
    <tableColumn id="4" xr3:uid="{00000000-0010-0000-2E00-000004000000}" name="Column4"/>
    <tableColumn id="5" xr3:uid="{00000000-0010-0000-2E00-000005000000}" name="Column5"/>
  </tableColumns>
  <tableStyleInfo name="Październik25- wydatki-style 5" showFirstColumn="1" showLastColumn="1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Table_48" displayName="Table_48" ref="B24:F34" headerRowCount="0">
  <tableColumns count="5">
    <tableColumn id="1" xr3:uid="{00000000-0010-0000-2F00-000001000000}" name="Column1"/>
    <tableColumn id="2" xr3:uid="{00000000-0010-0000-2F00-000002000000}" name="Column2"/>
    <tableColumn id="3" xr3:uid="{00000000-0010-0000-2F00-000003000000}" name="Column3"/>
    <tableColumn id="4" xr3:uid="{00000000-0010-0000-2F00-000004000000}" name="Column4"/>
    <tableColumn id="5" xr3:uid="{00000000-0010-0000-2F00-000005000000}" name="Column5"/>
  </tableColumns>
  <tableStyleInfo name="Październik25- wydatki-style 6" showFirstColumn="1" showLastColumn="1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Table_49" displayName="Table_49" ref="H32:L41" headerRowCount="0">
  <tableColumns count="5">
    <tableColumn id="1" xr3:uid="{00000000-0010-0000-3000-000001000000}" name="Column1"/>
    <tableColumn id="2" xr3:uid="{00000000-0010-0000-3000-000002000000}" name="Column2"/>
    <tableColumn id="3" xr3:uid="{00000000-0010-0000-3000-000003000000}" name="Column3"/>
    <tableColumn id="4" xr3:uid="{00000000-0010-0000-3000-000004000000}" name="Column4"/>
    <tableColumn id="5" xr3:uid="{00000000-0010-0000-3000-000005000000}" name="Column5"/>
  </tableColumns>
  <tableStyleInfo name="Październik25- wydatki-style 7" showFirstColumn="1" showLastColumn="1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Table_50" displayName="Table_50" ref="N2:T5">
  <tableColumns count="7">
    <tableColumn id="1" xr3:uid="{00000000-0010-0000-3100-000001000000}" name="Kolumna nr 1"/>
    <tableColumn id="2" xr3:uid="{00000000-0010-0000-3100-000002000000}" name="Wypłaty"/>
    <tableColumn id="3" xr3:uid="{00000000-0010-0000-3100-000003000000}" name="Suma"/>
    <tableColumn id="4" xr3:uid="{00000000-0010-0000-3100-000004000000}" name="Koszty stałe"/>
    <tableColumn id="5" xr3:uid="{00000000-0010-0000-3100-000005000000}" name="Koszty dyn."/>
    <tableColumn id="6" xr3:uid="{00000000-0010-0000-3100-000006000000}" name="Pozostałe"/>
    <tableColumn id="7" xr3:uid="{00000000-0010-0000-3100-000007000000}" name="Podsumowanie"/>
  </tableColumns>
  <tableStyleInfo name="Wrzesień25- wydatki-style" showFirstColumn="1" showLastColumn="1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Table_51" displayName="Table_51" ref="B3:F14" headerRowCount="0">
  <tableColumns count="5">
    <tableColumn id="1" xr3:uid="{00000000-0010-0000-3200-000001000000}" name="Column1"/>
    <tableColumn id="2" xr3:uid="{00000000-0010-0000-3200-000002000000}" name="Column2"/>
    <tableColumn id="3" xr3:uid="{00000000-0010-0000-3200-000003000000}" name="Column3"/>
    <tableColumn id="4" xr3:uid="{00000000-0010-0000-3200-000004000000}" name="Column4"/>
    <tableColumn id="5" xr3:uid="{00000000-0010-0000-3200-000005000000}" name="Column5"/>
  </tableColumns>
  <tableStyleInfo name="Wrzesień25- wydatki-style 2" showFirstColumn="1" showLastColumn="1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Table_52" displayName="Table_52" ref="H3:L17" headerRowCount="0">
  <tableColumns count="5">
    <tableColumn id="1" xr3:uid="{00000000-0010-0000-3300-000001000000}" name="Column1"/>
    <tableColumn id="2" xr3:uid="{00000000-0010-0000-3300-000002000000}" name="Column2"/>
    <tableColumn id="3" xr3:uid="{00000000-0010-0000-3300-000003000000}" name="Column3"/>
    <tableColumn id="4" xr3:uid="{00000000-0010-0000-3300-000004000000}" name="Column4"/>
    <tableColumn id="5" xr3:uid="{00000000-0010-0000-3300-000005000000}" name="Column5"/>
  </tableColumns>
  <tableStyleInfo name="Wrzesień25- wydatki-style 3" showFirstColumn="1" showLastColumn="1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Table_53" displayName="Table_53" ref="B17:F21" headerRowCount="0">
  <tableColumns count="5">
    <tableColumn id="1" xr3:uid="{00000000-0010-0000-3400-000001000000}" name="Column1"/>
    <tableColumn id="2" xr3:uid="{00000000-0010-0000-3400-000002000000}" name="Column2"/>
    <tableColumn id="3" xr3:uid="{00000000-0010-0000-3400-000003000000}" name="Column3"/>
    <tableColumn id="4" xr3:uid="{00000000-0010-0000-3400-000004000000}" name="Column4"/>
    <tableColumn id="5" xr3:uid="{00000000-0010-0000-3400-000005000000}" name="Column5"/>
  </tableColumns>
  <tableStyleInfo name="Wrzesień25- wydatki-style 4" showFirstColumn="1" showLastColumn="1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Table_54" displayName="Table_54" ref="H20:L29" headerRowCount="0">
  <tableColumns count="5">
    <tableColumn id="1" xr3:uid="{00000000-0010-0000-3500-000001000000}" name="Column1"/>
    <tableColumn id="2" xr3:uid="{00000000-0010-0000-3500-000002000000}" name="Column2"/>
    <tableColumn id="3" xr3:uid="{00000000-0010-0000-3500-000003000000}" name="Column3"/>
    <tableColumn id="4" xr3:uid="{00000000-0010-0000-3500-000004000000}" name="Column4"/>
    <tableColumn id="5" xr3:uid="{00000000-0010-0000-3500-000005000000}" name="Column5"/>
  </tableColumns>
  <tableStyleInfo name="Wrzesień25- wydatki-style 5" showFirstColumn="1" showLastColumn="1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Table_55" displayName="Table_55" ref="B24:F34" headerRowCount="0">
  <tableColumns count="5">
    <tableColumn id="1" xr3:uid="{00000000-0010-0000-3600-000001000000}" name="Column1"/>
    <tableColumn id="2" xr3:uid="{00000000-0010-0000-3600-000002000000}" name="Column2"/>
    <tableColumn id="3" xr3:uid="{00000000-0010-0000-3600-000003000000}" name="Column3"/>
    <tableColumn id="4" xr3:uid="{00000000-0010-0000-3600-000004000000}" name="Column4"/>
    <tableColumn id="5" xr3:uid="{00000000-0010-0000-3600-000005000000}" name="Column5"/>
  </tableColumns>
  <tableStyleInfo name="Wrzesień25- wydatki-style 6" showFirstColumn="1" showLastColumn="1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Table_56" displayName="Table_56" ref="H32:L41" headerRowCount="0">
  <tableColumns count="5">
    <tableColumn id="1" xr3:uid="{00000000-0010-0000-3700-000001000000}" name="Column1"/>
    <tableColumn id="2" xr3:uid="{00000000-0010-0000-3700-000002000000}" name="Column2"/>
    <tableColumn id="3" xr3:uid="{00000000-0010-0000-3700-000003000000}" name="Column3"/>
    <tableColumn id="4" xr3:uid="{00000000-0010-0000-3700-000004000000}" name="Column4"/>
    <tableColumn id="5" xr3:uid="{00000000-0010-0000-3700-000005000000}" name="Column5"/>
  </tableColumns>
  <tableStyleInfo name="Wrzesień25- wydatki-style 7" showFirstColumn="1" showLastColumn="1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Table_57" displayName="Table_57" ref="N2:T5">
  <tableColumns count="7">
    <tableColumn id="1" xr3:uid="{00000000-0010-0000-3800-000001000000}" name="Kolumna nr 1"/>
    <tableColumn id="2" xr3:uid="{00000000-0010-0000-3800-000002000000}" name="Wypłaty"/>
    <tableColumn id="3" xr3:uid="{00000000-0010-0000-3800-000003000000}" name="Suma"/>
    <tableColumn id="4" xr3:uid="{00000000-0010-0000-3800-000004000000}" name="Koszty stałe"/>
    <tableColumn id="5" xr3:uid="{00000000-0010-0000-3800-000005000000}" name="Koszty dyn."/>
    <tableColumn id="6" xr3:uid="{00000000-0010-0000-3800-000006000000}" name="Pozostałe"/>
    <tableColumn id="7" xr3:uid="{00000000-0010-0000-3800-000007000000}" name="Podsumowanie"/>
  </tableColumns>
  <tableStyleInfo name="Sierpień25 - wydatki-style" showFirstColumn="1" showLastColumn="1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Table_58" displayName="Table_58" ref="B3:F14" headerRowCount="0">
  <tableColumns count="5">
    <tableColumn id="1" xr3:uid="{00000000-0010-0000-3900-000001000000}" name="Column1"/>
    <tableColumn id="2" xr3:uid="{00000000-0010-0000-3900-000002000000}" name="Column2"/>
    <tableColumn id="3" xr3:uid="{00000000-0010-0000-3900-000003000000}" name="Column3"/>
    <tableColumn id="4" xr3:uid="{00000000-0010-0000-3900-000004000000}" name="Column4"/>
    <tableColumn id="5" xr3:uid="{00000000-0010-0000-3900-000005000000}" name="Column5"/>
  </tableColumns>
  <tableStyleInfo name="Sierpień25 - wydatki-style 2" showFirstColumn="1" showLastColumn="1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Table_59" displayName="Table_59" ref="H3:L17" headerRowCount="0">
  <tableColumns count="5">
    <tableColumn id="1" xr3:uid="{00000000-0010-0000-3A00-000001000000}" name="Column1"/>
    <tableColumn id="2" xr3:uid="{00000000-0010-0000-3A00-000002000000}" name="Column2"/>
    <tableColumn id="3" xr3:uid="{00000000-0010-0000-3A00-000003000000}" name="Column3"/>
    <tableColumn id="4" xr3:uid="{00000000-0010-0000-3A00-000004000000}" name="Column4"/>
    <tableColumn id="5" xr3:uid="{00000000-0010-0000-3A00-000005000000}" name="Column5"/>
  </tableColumns>
  <tableStyleInfo name="Sierpień25 - wydatki-style 3" showFirstColumn="1" showLastColumn="1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Table_60" displayName="Table_60" ref="B17:F21" headerRowCount="0">
  <tableColumns count="5">
    <tableColumn id="1" xr3:uid="{00000000-0010-0000-3B00-000001000000}" name="Column1"/>
    <tableColumn id="2" xr3:uid="{00000000-0010-0000-3B00-000002000000}" name="Column2"/>
    <tableColumn id="3" xr3:uid="{00000000-0010-0000-3B00-000003000000}" name="Column3"/>
    <tableColumn id="4" xr3:uid="{00000000-0010-0000-3B00-000004000000}" name="Column4"/>
    <tableColumn id="5" xr3:uid="{00000000-0010-0000-3B00-000005000000}" name="Column5"/>
  </tableColumns>
  <tableStyleInfo name="Sierpień25 - wydatki-style 4" showFirstColumn="1" showLastColumn="1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Table_61" displayName="Table_61" ref="H20:L29" headerRowCount="0">
  <tableColumns count="5">
    <tableColumn id="1" xr3:uid="{00000000-0010-0000-3C00-000001000000}" name="Column1"/>
    <tableColumn id="2" xr3:uid="{00000000-0010-0000-3C00-000002000000}" name="Column2"/>
    <tableColumn id="3" xr3:uid="{00000000-0010-0000-3C00-000003000000}" name="Column3"/>
    <tableColumn id="4" xr3:uid="{00000000-0010-0000-3C00-000004000000}" name="Column4"/>
    <tableColumn id="5" xr3:uid="{00000000-0010-0000-3C00-000005000000}" name="Column5"/>
  </tableColumns>
  <tableStyleInfo name="Sierpień25 - wydatki-style 5" showFirstColumn="1" showLastColumn="1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Table_62" displayName="Table_62" ref="B24:F34" headerRowCount="0">
  <tableColumns count="5">
    <tableColumn id="1" xr3:uid="{00000000-0010-0000-3D00-000001000000}" name="Column1"/>
    <tableColumn id="2" xr3:uid="{00000000-0010-0000-3D00-000002000000}" name="Column2"/>
    <tableColumn id="3" xr3:uid="{00000000-0010-0000-3D00-000003000000}" name="Column3"/>
    <tableColumn id="4" xr3:uid="{00000000-0010-0000-3D00-000004000000}" name="Column4"/>
    <tableColumn id="5" xr3:uid="{00000000-0010-0000-3D00-000005000000}" name="Column5"/>
  </tableColumns>
  <tableStyleInfo name="Sierpień25 - wydatki-style 6" showFirstColumn="1" showLastColumn="1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Table_63" displayName="Table_63" ref="H32:L41" headerRowCount="0">
  <tableColumns count="5">
    <tableColumn id="1" xr3:uid="{00000000-0010-0000-3E00-000001000000}" name="Column1"/>
    <tableColumn id="2" xr3:uid="{00000000-0010-0000-3E00-000002000000}" name="Column2"/>
    <tableColumn id="3" xr3:uid="{00000000-0010-0000-3E00-000003000000}" name="Column3"/>
    <tableColumn id="4" xr3:uid="{00000000-0010-0000-3E00-000004000000}" name="Column4"/>
    <tableColumn id="5" xr3:uid="{00000000-0010-0000-3E00-000005000000}" name="Column5"/>
  </tableColumns>
  <tableStyleInfo name="Sierpień25 - wydatki-style 7" showFirstColumn="1" showLastColumn="1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Table_64" displayName="Table_64" ref="N2:T5">
  <tableColumns count="7">
    <tableColumn id="1" xr3:uid="{00000000-0010-0000-3F00-000001000000}" name="Kolumna nr 1"/>
    <tableColumn id="2" xr3:uid="{00000000-0010-0000-3F00-000002000000}" name="Wypłaty"/>
    <tableColumn id="3" xr3:uid="{00000000-0010-0000-3F00-000003000000}" name="Suma"/>
    <tableColumn id="4" xr3:uid="{00000000-0010-0000-3F00-000004000000}" name="Koszty stałe"/>
    <tableColumn id="5" xr3:uid="{00000000-0010-0000-3F00-000005000000}" name="Koszty dyn."/>
    <tableColumn id="6" xr3:uid="{00000000-0010-0000-3F00-000006000000}" name="Pozostałe"/>
    <tableColumn id="7" xr3:uid="{00000000-0010-0000-3F00-000007000000}" name="Podsumowanie"/>
  </tableColumns>
  <tableStyleInfo name="Lipiec25 - wydatki-style" showFirstColumn="1" showLastColumn="1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Table_65" displayName="Table_65" ref="B3:F14" headerRowCount="0">
  <tableColumns count="5">
    <tableColumn id="1" xr3:uid="{00000000-0010-0000-4000-000001000000}" name="Column1"/>
    <tableColumn id="2" xr3:uid="{00000000-0010-0000-4000-000002000000}" name="Column2"/>
    <tableColumn id="3" xr3:uid="{00000000-0010-0000-4000-000003000000}" name="Column3"/>
    <tableColumn id="4" xr3:uid="{00000000-0010-0000-4000-000004000000}" name="Column4"/>
    <tableColumn id="5" xr3:uid="{00000000-0010-0000-4000-000005000000}" name="Column5"/>
  </tableColumns>
  <tableStyleInfo name="Lipiec25 - wydatki-style 2" showFirstColumn="1" showLastColumn="1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Table_66" displayName="Table_66" ref="H3:L17" headerRowCount="0">
  <tableColumns count="5">
    <tableColumn id="1" xr3:uid="{00000000-0010-0000-4100-000001000000}" name="Column1"/>
    <tableColumn id="2" xr3:uid="{00000000-0010-0000-4100-000002000000}" name="Column2"/>
    <tableColumn id="3" xr3:uid="{00000000-0010-0000-4100-000003000000}" name="Column3"/>
    <tableColumn id="4" xr3:uid="{00000000-0010-0000-4100-000004000000}" name="Column4"/>
    <tableColumn id="5" xr3:uid="{00000000-0010-0000-4100-000005000000}" name="Column5"/>
  </tableColumns>
  <tableStyleInfo name="Lipiec25 - wydatki-style 3" showFirstColumn="1" showLastColumn="1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Table_67" displayName="Table_67" ref="B17:F21" headerRowCount="0">
  <tableColumns count="5">
    <tableColumn id="1" xr3:uid="{00000000-0010-0000-4200-000001000000}" name="Column1"/>
    <tableColumn id="2" xr3:uid="{00000000-0010-0000-4200-000002000000}" name="Column2"/>
    <tableColumn id="3" xr3:uid="{00000000-0010-0000-4200-000003000000}" name="Column3"/>
    <tableColumn id="4" xr3:uid="{00000000-0010-0000-4200-000004000000}" name="Column4"/>
    <tableColumn id="5" xr3:uid="{00000000-0010-0000-4200-000005000000}" name="Column5"/>
  </tableColumns>
  <tableStyleInfo name="Lipiec25 - wydatki-style 4" showFirstColumn="1" showLastColumn="1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Table_68" displayName="Table_68" ref="H20:L29" headerRowCount="0">
  <tableColumns count="5">
    <tableColumn id="1" xr3:uid="{00000000-0010-0000-4300-000001000000}" name="Column1"/>
    <tableColumn id="2" xr3:uid="{00000000-0010-0000-4300-000002000000}" name="Column2"/>
    <tableColumn id="3" xr3:uid="{00000000-0010-0000-4300-000003000000}" name="Column3"/>
    <tableColumn id="4" xr3:uid="{00000000-0010-0000-4300-000004000000}" name="Column4"/>
    <tableColumn id="5" xr3:uid="{00000000-0010-0000-4300-000005000000}" name="Column5"/>
  </tableColumns>
  <tableStyleInfo name="Lipiec25 - wydatki-style 5" showFirstColumn="1" showLastColumn="1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Table_69" displayName="Table_69" ref="B24:F34" headerRowCount="0">
  <tableColumns count="5">
    <tableColumn id="1" xr3:uid="{00000000-0010-0000-4400-000001000000}" name="Column1"/>
    <tableColumn id="2" xr3:uid="{00000000-0010-0000-4400-000002000000}" name="Column2"/>
    <tableColumn id="3" xr3:uid="{00000000-0010-0000-4400-000003000000}" name="Column3"/>
    <tableColumn id="4" xr3:uid="{00000000-0010-0000-4400-000004000000}" name="Column4"/>
    <tableColumn id="5" xr3:uid="{00000000-0010-0000-4400-000005000000}" name="Column5"/>
  </tableColumns>
  <tableStyleInfo name="Lipiec25 - wydatki-style 6" showFirstColumn="1" showLastColumn="1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Table_70" displayName="Table_70" ref="H32:L41" headerRowCount="0">
  <tableColumns count="5">
    <tableColumn id="1" xr3:uid="{00000000-0010-0000-4500-000001000000}" name="Column1"/>
    <tableColumn id="2" xr3:uid="{00000000-0010-0000-4500-000002000000}" name="Column2"/>
    <tableColumn id="3" xr3:uid="{00000000-0010-0000-4500-000003000000}" name="Column3"/>
    <tableColumn id="4" xr3:uid="{00000000-0010-0000-4500-000004000000}" name="Column4"/>
    <tableColumn id="5" xr3:uid="{00000000-0010-0000-4500-000005000000}" name="Column5"/>
  </tableColumns>
  <tableStyleInfo name="Lipiec25 - wydatki-style 7" showFirstColumn="1" showLastColumn="1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Table_71" displayName="Table_71" ref="N2:T5">
  <tableColumns count="7">
    <tableColumn id="1" xr3:uid="{00000000-0010-0000-4600-000001000000}" name="Kolumna nr 1"/>
    <tableColumn id="2" xr3:uid="{00000000-0010-0000-4600-000002000000}" name="Wypłaty"/>
    <tableColumn id="3" xr3:uid="{00000000-0010-0000-4600-000003000000}" name="Suma"/>
    <tableColumn id="4" xr3:uid="{00000000-0010-0000-4600-000004000000}" name="Koszty stałe"/>
    <tableColumn id="5" xr3:uid="{00000000-0010-0000-4600-000005000000}" name="Koszty dyn."/>
    <tableColumn id="6" xr3:uid="{00000000-0010-0000-4600-000006000000}" name="Pozostałe"/>
    <tableColumn id="7" xr3:uid="{00000000-0010-0000-4600-000007000000}" name="Podsumowanie"/>
  </tableColumns>
  <tableStyleInfo name="Kwiecień25 - wydatki -style" showFirstColumn="1" showLastColumn="1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Table_72" displayName="Table_72" ref="B3:F14" headerRowCount="0">
  <tableColumns count="5">
    <tableColumn id="1" xr3:uid="{00000000-0010-0000-4700-000001000000}" name="Column1"/>
    <tableColumn id="2" xr3:uid="{00000000-0010-0000-4700-000002000000}" name="Column2"/>
    <tableColumn id="3" xr3:uid="{00000000-0010-0000-4700-000003000000}" name="Column3"/>
    <tableColumn id="4" xr3:uid="{00000000-0010-0000-4700-000004000000}" name="Column4"/>
    <tableColumn id="5" xr3:uid="{00000000-0010-0000-4700-000005000000}" name="Column5"/>
  </tableColumns>
  <tableStyleInfo name="Kwiecień25 - wydatki -style 2" showFirstColumn="1" showLastColumn="1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Table_73" displayName="Table_73" ref="H3:L17" headerRowCount="0">
  <tableColumns count="5">
    <tableColumn id="1" xr3:uid="{00000000-0010-0000-4800-000001000000}" name="Column1"/>
    <tableColumn id="2" xr3:uid="{00000000-0010-0000-4800-000002000000}" name="Column2"/>
    <tableColumn id="3" xr3:uid="{00000000-0010-0000-4800-000003000000}" name="Column3"/>
    <tableColumn id="4" xr3:uid="{00000000-0010-0000-4800-000004000000}" name="Column4"/>
    <tableColumn id="5" xr3:uid="{00000000-0010-0000-4800-000005000000}" name="Column5"/>
  </tableColumns>
  <tableStyleInfo name="Kwiecień25 - wydatki -style 3" showFirstColumn="1" showLastColumn="1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Table_74" displayName="Table_74" ref="B17:F21" headerRowCount="0">
  <tableColumns count="5">
    <tableColumn id="1" xr3:uid="{00000000-0010-0000-4900-000001000000}" name="Column1"/>
    <tableColumn id="2" xr3:uid="{00000000-0010-0000-4900-000002000000}" name="Column2"/>
    <tableColumn id="3" xr3:uid="{00000000-0010-0000-4900-000003000000}" name="Column3"/>
    <tableColumn id="4" xr3:uid="{00000000-0010-0000-4900-000004000000}" name="Column4"/>
    <tableColumn id="5" xr3:uid="{00000000-0010-0000-4900-000005000000}" name="Column5"/>
  </tableColumns>
  <tableStyleInfo name="Kwiecień25 - wydatki -style 4" showFirstColumn="1" showLastColumn="1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Table_75" displayName="Table_75" ref="H20:L29" headerRowCount="0">
  <tableColumns count="5">
    <tableColumn id="1" xr3:uid="{00000000-0010-0000-4A00-000001000000}" name="Column1"/>
    <tableColumn id="2" xr3:uid="{00000000-0010-0000-4A00-000002000000}" name="Column2"/>
    <tableColumn id="3" xr3:uid="{00000000-0010-0000-4A00-000003000000}" name="Column3"/>
    <tableColumn id="4" xr3:uid="{00000000-0010-0000-4A00-000004000000}" name="Column4"/>
    <tableColumn id="5" xr3:uid="{00000000-0010-0000-4A00-000005000000}" name="Column5"/>
  </tableColumns>
  <tableStyleInfo name="Kwiecień25 - wydatki -style 5" showFirstColumn="1" showLastColumn="1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Table_76" displayName="Table_76" ref="B24:F34" headerRowCount="0">
  <tableColumns count="5">
    <tableColumn id="1" xr3:uid="{00000000-0010-0000-4B00-000001000000}" name="Column1"/>
    <tableColumn id="2" xr3:uid="{00000000-0010-0000-4B00-000002000000}" name="Column2"/>
    <tableColumn id="3" xr3:uid="{00000000-0010-0000-4B00-000003000000}" name="Column3"/>
    <tableColumn id="4" xr3:uid="{00000000-0010-0000-4B00-000004000000}" name="Column4"/>
    <tableColumn id="5" xr3:uid="{00000000-0010-0000-4B00-000005000000}" name="Column5"/>
  </tableColumns>
  <tableStyleInfo name="Kwiecień25 - wydatki -style 6" showFirstColumn="1" showLastColumn="1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Table_77" displayName="Table_77" ref="H32:L41" headerRowCount="0">
  <tableColumns count="5">
    <tableColumn id="1" xr3:uid="{00000000-0010-0000-4C00-000001000000}" name="Column1"/>
    <tableColumn id="2" xr3:uid="{00000000-0010-0000-4C00-000002000000}" name="Column2"/>
    <tableColumn id="3" xr3:uid="{00000000-0010-0000-4C00-000003000000}" name="Column3"/>
    <tableColumn id="4" xr3:uid="{00000000-0010-0000-4C00-000004000000}" name="Column4"/>
    <tableColumn id="5" xr3:uid="{00000000-0010-0000-4C00-000005000000}" name="Column5"/>
  </tableColumns>
  <tableStyleInfo name="Kwiecień25 - wydatki -style 7" showFirstColumn="1" showLastColumn="1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Table_78" displayName="Table_78" ref="N2:T5">
  <tableColumns count="7">
    <tableColumn id="1" xr3:uid="{00000000-0010-0000-4D00-000001000000}" name="Kolumna nr 1"/>
    <tableColumn id="2" xr3:uid="{00000000-0010-0000-4D00-000002000000}" name="Wypłaty"/>
    <tableColumn id="3" xr3:uid="{00000000-0010-0000-4D00-000003000000}" name="Suma"/>
    <tableColumn id="4" xr3:uid="{00000000-0010-0000-4D00-000004000000}" name="Koszty stałe"/>
    <tableColumn id="5" xr3:uid="{00000000-0010-0000-4D00-000005000000}" name="Koszty dyn."/>
    <tableColumn id="6" xr3:uid="{00000000-0010-0000-4D00-000006000000}" name="Pozostałe"/>
    <tableColumn id="7" xr3:uid="{00000000-0010-0000-4D00-000007000000}" name="Podsumowanie"/>
  </tableColumns>
  <tableStyleInfo name="Czerwiec25 - wydatki-style" showFirstColumn="1" showLastColumn="1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Table_79" displayName="Table_79" ref="B3:F14" headerRowCount="0">
  <tableColumns count="5">
    <tableColumn id="1" xr3:uid="{00000000-0010-0000-4E00-000001000000}" name="Column1"/>
    <tableColumn id="2" xr3:uid="{00000000-0010-0000-4E00-000002000000}" name="Column2"/>
    <tableColumn id="3" xr3:uid="{00000000-0010-0000-4E00-000003000000}" name="Column3"/>
    <tableColumn id="4" xr3:uid="{00000000-0010-0000-4E00-000004000000}" name="Column4"/>
    <tableColumn id="5" xr3:uid="{00000000-0010-0000-4E00-000005000000}" name="Column5"/>
  </tableColumns>
  <tableStyleInfo name="Czerwiec25 - wydatki-style 2" showFirstColumn="1" showLastColumn="1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Table_80" displayName="Table_80" ref="H3:L17" headerRowCount="0">
  <tableColumns count="5">
    <tableColumn id="1" xr3:uid="{00000000-0010-0000-4F00-000001000000}" name="Column1"/>
    <tableColumn id="2" xr3:uid="{00000000-0010-0000-4F00-000002000000}" name="Column2"/>
    <tableColumn id="3" xr3:uid="{00000000-0010-0000-4F00-000003000000}" name="Column3"/>
    <tableColumn id="4" xr3:uid="{00000000-0010-0000-4F00-000004000000}" name="Column4"/>
    <tableColumn id="5" xr3:uid="{00000000-0010-0000-4F00-000005000000}" name="Column5"/>
  </tableColumns>
  <tableStyleInfo name="Czerwiec25 - wydatki-style 3" showFirstColumn="1" showLastColumn="1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Table_81" displayName="Table_81" ref="B17:F21" headerRowCount="0">
  <tableColumns count="5">
    <tableColumn id="1" xr3:uid="{00000000-0010-0000-5000-000001000000}" name="Column1"/>
    <tableColumn id="2" xr3:uid="{00000000-0010-0000-5000-000002000000}" name="Column2"/>
    <tableColumn id="3" xr3:uid="{00000000-0010-0000-5000-000003000000}" name="Column3"/>
    <tableColumn id="4" xr3:uid="{00000000-0010-0000-5000-000004000000}" name="Column4"/>
    <tableColumn id="5" xr3:uid="{00000000-0010-0000-5000-000005000000}" name="Column5"/>
  </tableColumns>
  <tableStyleInfo name="Czerwiec25 - wydatki-style 4" showFirstColumn="1" showLastColumn="1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Table_82" displayName="Table_82" ref="H20:L29" headerRowCount="0">
  <tableColumns count="5">
    <tableColumn id="1" xr3:uid="{00000000-0010-0000-5100-000001000000}" name="Column1"/>
    <tableColumn id="2" xr3:uid="{00000000-0010-0000-5100-000002000000}" name="Column2"/>
    <tableColumn id="3" xr3:uid="{00000000-0010-0000-5100-000003000000}" name="Column3"/>
    <tableColumn id="4" xr3:uid="{00000000-0010-0000-5100-000004000000}" name="Column4"/>
    <tableColumn id="5" xr3:uid="{00000000-0010-0000-5100-000005000000}" name="Column5"/>
  </tableColumns>
  <tableStyleInfo name="Czerwiec25 - wydatki-style 5" showFirstColumn="1" showLastColumn="1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Table_83" displayName="Table_83" ref="B24:F34" headerRowCount="0">
  <tableColumns count="5">
    <tableColumn id="1" xr3:uid="{00000000-0010-0000-5200-000001000000}" name="Column1"/>
    <tableColumn id="2" xr3:uid="{00000000-0010-0000-5200-000002000000}" name="Column2"/>
    <tableColumn id="3" xr3:uid="{00000000-0010-0000-5200-000003000000}" name="Column3"/>
    <tableColumn id="4" xr3:uid="{00000000-0010-0000-5200-000004000000}" name="Column4"/>
    <tableColumn id="5" xr3:uid="{00000000-0010-0000-5200-000005000000}" name="Column5"/>
  </tableColumns>
  <tableStyleInfo name="Czerwiec25 - wydatki-style 6" showFirstColumn="1" showLastColumn="1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Table_84" displayName="Table_84" ref="H32:L41" headerRowCount="0">
  <tableColumns count="5">
    <tableColumn id="1" xr3:uid="{00000000-0010-0000-5300-000001000000}" name="Column1"/>
    <tableColumn id="2" xr3:uid="{00000000-0010-0000-5300-000002000000}" name="Column2"/>
    <tableColumn id="3" xr3:uid="{00000000-0010-0000-5300-000003000000}" name="Column3"/>
    <tableColumn id="4" xr3:uid="{00000000-0010-0000-5300-000004000000}" name="Column4"/>
    <tableColumn id="5" xr3:uid="{00000000-0010-0000-5300-000005000000}" name="Column5"/>
  </tableColumns>
  <tableStyleInfo name="Czerwiec25 - wydatki-style 7" showFirstColumn="1" showLastColumn="1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Table_85" displayName="Table_85" ref="N2:T5">
  <tableColumns count="7">
    <tableColumn id="1" xr3:uid="{00000000-0010-0000-5400-000001000000}" name="Kolumna nr 1"/>
    <tableColumn id="2" xr3:uid="{00000000-0010-0000-5400-000002000000}" name="Wypłaty"/>
    <tableColumn id="3" xr3:uid="{00000000-0010-0000-5400-000003000000}" name="Suma"/>
    <tableColumn id="4" xr3:uid="{00000000-0010-0000-5400-000004000000}" name="Koszty stałe"/>
    <tableColumn id="5" xr3:uid="{00000000-0010-0000-5400-000005000000}" name="Koszty dyn."/>
    <tableColumn id="6" xr3:uid="{00000000-0010-0000-5400-000006000000}" name="Pozostałe"/>
    <tableColumn id="7" xr3:uid="{00000000-0010-0000-5400-000007000000}" name="Podsumowanie"/>
  </tableColumns>
  <tableStyleInfo name="Maj25 - wydatki-style" showFirstColumn="1" showLastColumn="1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Table_86" displayName="Table_86" ref="B3:F14" headerRowCount="0">
  <tableColumns count="5">
    <tableColumn id="1" xr3:uid="{00000000-0010-0000-5500-000001000000}" name="Column1"/>
    <tableColumn id="2" xr3:uid="{00000000-0010-0000-5500-000002000000}" name="Column2"/>
    <tableColumn id="3" xr3:uid="{00000000-0010-0000-5500-000003000000}" name="Column3"/>
    <tableColumn id="4" xr3:uid="{00000000-0010-0000-5500-000004000000}" name="Column4"/>
    <tableColumn id="5" xr3:uid="{00000000-0010-0000-5500-000005000000}" name="Column5"/>
  </tableColumns>
  <tableStyleInfo name="Maj25 - wydatki-style 2" showFirstColumn="1" showLastColumn="1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Table_87" displayName="Table_87" ref="H3:L17" headerRowCount="0">
  <tableColumns count="5">
    <tableColumn id="1" xr3:uid="{00000000-0010-0000-5600-000001000000}" name="Column1"/>
    <tableColumn id="2" xr3:uid="{00000000-0010-0000-5600-000002000000}" name="Column2"/>
    <tableColumn id="3" xr3:uid="{00000000-0010-0000-5600-000003000000}" name="Column3"/>
    <tableColumn id="4" xr3:uid="{00000000-0010-0000-5600-000004000000}" name="Column4"/>
    <tableColumn id="5" xr3:uid="{00000000-0010-0000-5600-000005000000}" name="Column5"/>
  </tableColumns>
  <tableStyleInfo name="Maj25 - wydatki-style 3" showFirstColumn="1" showLastColumn="1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Table_88" displayName="Table_88" ref="B17:F21" headerRowCount="0">
  <tableColumns count="5">
    <tableColumn id="1" xr3:uid="{00000000-0010-0000-5700-000001000000}" name="Column1"/>
    <tableColumn id="2" xr3:uid="{00000000-0010-0000-5700-000002000000}" name="Column2"/>
    <tableColumn id="3" xr3:uid="{00000000-0010-0000-5700-000003000000}" name="Column3"/>
    <tableColumn id="4" xr3:uid="{00000000-0010-0000-5700-000004000000}" name="Column4"/>
    <tableColumn id="5" xr3:uid="{00000000-0010-0000-5700-000005000000}" name="Column5"/>
  </tableColumns>
  <tableStyleInfo name="Maj25 - wydatki-style 4" showFirstColumn="1" showLastColumn="1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Table_89" displayName="Table_89" ref="H20:L29" headerRowCount="0">
  <tableColumns count="5">
    <tableColumn id="1" xr3:uid="{00000000-0010-0000-5800-000001000000}" name="Column1"/>
    <tableColumn id="2" xr3:uid="{00000000-0010-0000-5800-000002000000}" name="Column2"/>
    <tableColumn id="3" xr3:uid="{00000000-0010-0000-5800-000003000000}" name="Column3"/>
    <tableColumn id="4" xr3:uid="{00000000-0010-0000-5800-000004000000}" name="Column4"/>
    <tableColumn id="5" xr3:uid="{00000000-0010-0000-5800-000005000000}" name="Column5"/>
  </tableColumns>
  <tableStyleInfo name="Maj25 - wydatki-style 5" showFirstColumn="1" showLastColumn="1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Table_90" displayName="Table_90" ref="B24:F34" headerRowCount="0">
  <tableColumns count="5">
    <tableColumn id="1" xr3:uid="{00000000-0010-0000-5900-000001000000}" name="Column1"/>
    <tableColumn id="2" xr3:uid="{00000000-0010-0000-5900-000002000000}" name="Column2"/>
    <tableColumn id="3" xr3:uid="{00000000-0010-0000-5900-000003000000}" name="Column3"/>
    <tableColumn id="4" xr3:uid="{00000000-0010-0000-5900-000004000000}" name="Column4"/>
    <tableColumn id="5" xr3:uid="{00000000-0010-0000-5900-000005000000}" name="Column5"/>
  </tableColumns>
  <tableStyleInfo name="Maj25 - wydatki-style 6" showFirstColumn="1" showLastColumn="1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Table_91" displayName="Table_91" ref="H32:L41" headerRowCount="0">
  <tableColumns count="5">
    <tableColumn id="1" xr3:uid="{00000000-0010-0000-5A00-000001000000}" name="Column1"/>
    <tableColumn id="2" xr3:uid="{00000000-0010-0000-5A00-000002000000}" name="Column2"/>
    <tableColumn id="3" xr3:uid="{00000000-0010-0000-5A00-000003000000}" name="Column3"/>
    <tableColumn id="4" xr3:uid="{00000000-0010-0000-5A00-000004000000}" name="Column4"/>
    <tableColumn id="5" xr3:uid="{00000000-0010-0000-5A00-000005000000}" name="Column5"/>
  </tableColumns>
  <tableStyleInfo name="Maj25 - wydatki-style 7" showFirstColumn="1" showLastColumn="1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Table_92" displayName="Table_92" ref="N2:T5">
  <tableColumns count="7">
    <tableColumn id="1" xr3:uid="{00000000-0010-0000-5B00-000001000000}" name="Kolumna nr 1"/>
    <tableColumn id="2" xr3:uid="{00000000-0010-0000-5B00-000002000000}" name="Wypłaty"/>
    <tableColumn id="3" xr3:uid="{00000000-0010-0000-5B00-000003000000}" name="Suma"/>
    <tableColumn id="4" xr3:uid="{00000000-0010-0000-5B00-000004000000}" name="Koszty stałe"/>
    <tableColumn id="5" xr3:uid="{00000000-0010-0000-5B00-000005000000}" name="Koszty dyn."/>
    <tableColumn id="6" xr3:uid="{00000000-0010-0000-5B00-000006000000}" name="Pozostałe"/>
    <tableColumn id="7" xr3:uid="{00000000-0010-0000-5B00-000007000000}" name="Podsumowanie"/>
  </tableColumns>
  <tableStyleInfo name="Marzec25 - wydatki-style" showFirstColumn="1" showLastColumn="1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Table_93" displayName="Table_93" ref="B3:F14" headerRowCount="0">
  <tableColumns count="5">
    <tableColumn id="1" xr3:uid="{00000000-0010-0000-5C00-000001000000}" name="Column1"/>
    <tableColumn id="2" xr3:uid="{00000000-0010-0000-5C00-000002000000}" name="Column2"/>
    <tableColumn id="3" xr3:uid="{00000000-0010-0000-5C00-000003000000}" name="Column3"/>
    <tableColumn id="4" xr3:uid="{00000000-0010-0000-5C00-000004000000}" name="Column4"/>
    <tableColumn id="5" xr3:uid="{00000000-0010-0000-5C00-000005000000}" name="Column5"/>
  </tableColumns>
  <tableStyleInfo name="Marzec25 - wydatki-style 2" showFirstColumn="1" showLastColumn="1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Table_94" displayName="Table_94" ref="H3:L17" headerRowCount="0">
  <tableColumns count="5">
    <tableColumn id="1" xr3:uid="{00000000-0010-0000-5D00-000001000000}" name="Column1"/>
    <tableColumn id="2" xr3:uid="{00000000-0010-0000-5D00-000002000000}" name="Column2"/>
    <tableColumn id="3" xr3:uid="{00000000-0010-0000-5D00-000003000000}" name="Column3"/>
    <tableColumn id="4" xr3:uid="{00000000-0010-0000-5D00-000004000000}" name="Column4"/>
    <tableColumn id="5" xr3:uid="{00000000-0010-0000-5D00-000005000000}" name="Column5"/>
  </tableColumns>
  <tableStyleInfo name="Marzec25 - wydatki-style 3" showFirstColumn="1" showLastColumn="1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Table_95" displayName="Table_95" ref="B17:F21" headerRowCount="0">
  <tableColumns count="5">
    <tableColumn id="1" xr3:uid="{00000000-0010-0000-5E00-000001000000}" name="Column1"/>
    <tableColumn id="2" xr3:uid="{00000000-0010-0000-5E00-000002000000}" name="Column2"/>
    <tableColumn id="3" xr3:uid="{00000000-0010-0000-5E00-000003000000}" name="Column3"/>
    <tableColumn id="4" xr3:uid="{00000000-0010-0000-5E00-000004000000}" name="Column4"/>
    <tableColumn id="5" xr3:uid="{00000000-0010-0000-5E00-000005000000}" name="Column5"/>
  </tableColumns>
  <tableStyleInfo name="Marzec25 - wydatki-style 4" showFirstColumn="1" showLastColumn="1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Table_96" displayName="Table_96" ref="H20:L29" headerRowCount="0">
  <tableColumns count="5">
    <tableColumn id="1" xr3:uid="{00000000-0010-0000-5F00-000001000000}" name="Column1"/>
    <tableColumn id="2" xr3:uid="{00000000-0010-0000-5F00-000002000000}" name="Column2"/>
    <tableColumn id="3" xr3:uid="{00000000-0010-0000-5F00-000003000000}" name="Column3"/>
    <tableColumn id="4" xr3:uid="{00000000-0010-0000-5F00-000004000000}" name="Column4"/>
    <tableColumn id="5" xr3:uid="{00000000-0010-0000-5F00-000005000000}" name="Column5"/>
  </tableColumns>
  <tableStyleInfo name="Marzec25 - wydatki-style 5" showFirstColumn="1" showLastColumn="1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Table_97" displayName="Table_97" ref="B24:F34" headerRowCount="0">
  <tableColumns count="5">
    <tableColumn id="1" xr3:uid="{00000000-0010-0000-6000-000001000000}" name="Column1"/>
    <tableColumn id="2" xr3:uid="{00000000-0010-0000-6000-000002000000}" name="Column2"/>
    <tableColumn id="3" xr3:uid="{00000000-0010-0000-6000-000003000000}" name="Column3"/>
    <tableColumn id="4" xr3:uid="{00000000-0010-0000-6000-000004000000}" name="Column4"/>
    <tableColumn id="5" xr3:uid="{00000000-0010-0000-6000-000005000000}" name="Column5"/>
  </tableColumns>
  <tableStyleInfo name="Marzec25 - wydatki-style 6" showFirstColumn="1" showLastColumn="1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Table_98" displayName="Table_98" ref="H32:L41" headerRowCount="0">
  <tableColumns count="5">
    <tableColumn id="1" xr3:uid="{00000000-0010-0000-6100-000001000000}" name="Column1"/>
    <tableColumn id="2" xr3:uid="{00000000-0010-0000-6100-000002000000}" name="Column2"/>
    <tableColumn id="3" xr3:uid="{00000000-0010-0000-6100-000003000000}" name="Column3"/>
    <tableColumn id="4" xr3:uid="{00000000-0010-0000-6100-000004000000}" name="Column4"/>
    <tableColumn id="5" xr3:uid="{00000000-0010-0000-6100-000005000000}" name="Column5"/>
  </tableColumns>
  <tableStyleInfo name="Marzec25 - wydatki-style 7" showFirstColumn="1" showLastColumn="1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Table_99" displayName="Table_99" ref="N2:T5">
  <tableColumns count="7">
    <tableColumn id="1" xr3:uid="{00000000-0010-0000-6200-000001000000}" name="Kolumna nr 1"/>
    <tableColumn id="2" xr3:uid="{00000000-0010-0000-6200-000002000000}" name="Wypłaty"/>
    <tableColumn id="3" xr3:uid="{00000000-0010-0000-6200-000003000000}" name="Suma"/>
    <tableColumn id="4" xr3:uid="{00000000-0010-0000-6200-000004000000}" name="Koszty stałe"/>
    <tableColumn id="5" xr3:uid="{00000000-0010-0000-6200-000005000000}" name="Koszty dyn."/>
    <tableColumn id="6" xr3:uid="{00000000-0010-0000-6200-000006000000}" name="Pozostałe"/>
    <tableColumn id="7" xr3:uid="{00000000-0010-0000-6200-000007000000}" name="Podsumowanie"/>
  </tableColumns>
  <tableStyleInfo name="Luty25 - wydatki-style" showFirstColumn="1" showLastColumn="1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Table_100" displayName="Table_100" ref="B3:F14" headerRowCount="0">
  <tableColumns count="5">
    <tableColumn id="1" xr3:uid="{00000000-0010-0000-6300-000001000000}" name="Column1"/>
    <tableColumn id="2" xr3:uid="{00000000-0010-0000-6300-000002000000}" name="Column2"/>
    <tableColumn id="3" xr3:uid="{00000000-0010-0000-6300-000003000000}" name="Column3"/>
    <tableColumn id="4" xr3:uid="{00000000-0010-0000-6300-000004000000}" name="Column4"/>
    <tableColumn id="5" xr3:uid="{00000000-0010-0000-6300-000005000000}" name="Column5"/>
  </tableColumns>
  <tableStyleInfo name="Luty25 - wydatki-style 2" showFirstColumn="1" showLastColumn="1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Table_101" displayName="Table_101" ref="H3:L17" headerRowCount="0">
  <tableColumns count="5">
    <tableColumn id="1" xr3:uid="{00000000-0010-0000-6400-000001000000}" name="Column1"/>
    <tableColumn id="2" xr3:uid="{00000000-0010-0000-6400-000002000000}" name="Column2"/>
    <tableColumn id="3" xr3:uid="{00000000-0010-0000-6400-000003000000}" name="Column3"/>
    <tableColumn id="4" xr3:uid="{00000000-0010-0000-6400-000004000000}" name="Column4"/>
    <tableColumn id="5" xr3:uid="{00000000-0010-0000-6400-000005000000}" name="Column5"/>
  </tableColumns>
  <tableStyleInfo name="Luty25 - wydatki-style 3" showFirstColumn="1" showLastColumn="1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Table_102" displayName="Table_102" ref="B17:F21" headerRowCount="0">
  <tableColumns count="5">
    <tableColumn id="1" xr3:uid="{00000000-0010-0000-6500-000001000000}" name="Column1"/>
    <tableColumn id="2" xr3:uid="{00000000-0010-0000-6500-000002000000}" name="Column2"/>
    <tableColumn id="3" xr3:uid="{00000000-0010-0000-6500-000003000000}" name="Column3"/>
    <tableColumn id="4" xr3:uid="{00000000-0010-0000-6500-000004000000}" name="Column4"/>
    <tableColumn id="5" xr3:uid="{00000000-0010-0000-6500-000005000000}" name="Column5"/>
  </tableColumns>
  <tableStyleInfo name="Luty25 - wydatki-style 4" showFirstColumn="1" showLastColumn="1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Table_103" displayName="Table_103" ref="H20:L29" headerRowCount="0">
  <tableColumns count="5">
    <tableColumn id="1" xr3:uid="{00000000-0010-0000-6600-000001000000}" name="Column1"/>
    <tableColumn id="2" xr3:uid="{00000000-0010-0000-6600-000002000000}" name="Column2"/>
    <tableColumn id="3" xr3:uid="{00000000-0010-0000-6600-000003000000}" name="Column3"/>
    <tableColumn id="4" xr3:uid="{00000000-0010-0000-6600-000004000000}" name="Column4"/>
    <tableColumn id="5" xr3:uid="{00000000-0010-0000-6600-000005000000}" name="Column5"/>
  </tableColumns>
  <tableStyleInfo name="Luty25 - wydatki-style 5" showFirstColumn="1" showLastColumn="1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Table_104" displayName="Table_104" ref="B24:F34" headerRowCount="0">
  <tableColumns count="5">
    <tableColumn id="1" xr3:uid="{00000000-0010-0000-6700-000001000000}" name="Column1"/>
    <tableColumn id="2" xr3:uid="{00000000-0010-0000-6700-000002000000}" name="Column2"/>
    <tableColumn id="3" xr3:uid="{00000000-0010-0000-6700-000003000000}" name="Column3"/>
    <tableColumn id="4" xr3:uid="{00000000-0010-0000-6700-000004000000}" name="Column4"/>
    <tableColumn id="5" xr3:uid="{00000000-0010-0000-6700-000005000000}" name="Column5"/>
  </tableColumns>
  <tableStyleInfo name="Luty25 - wydatki-style 6" showFirstColumn="1" showLastColumn="1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Table_105" displayName="Table_105" ref="H32:L41" headerRowCount="0">
  <tableColumns count="5">
    <tableColumn id="1" xr3:uid="{00000000-0010-0000-6800-000001000000}" name="Column1"/>
    <tableColumn id="2" xr3:uid="{00000000-0010-0000-6800-000002000000}" name="Column2"/>
    <tableColumn id="3" xr3:uid="{00000000-0010-0000-6800-000003000000}" name="Column3"/>
    <tableColumn id="4" xr3:uid="{00000000-0010-0000-6800-000004000000}" name="Column4"/>
    <tableColumn id="5" xr3:uid="{00000000-0010-0000-6800-000005000000}" name="Column5"/>
  </tableColumns>
  <tableStyleInfo name="Luty25 - wydatki-style 7" showFirstColumn="1" showLastColumn="1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Table_106" displayName="Table_106" ref="N2:T5">
  <tableColumns count="7">
    <tableColumn id="1" xr3:uid="{00000000-0010-0000-6900-000001000000}" name="Kolumna nr 1"/>
    <tableColumn id="2" xr3:uid="{00000000-0010-0000-6900-000002000000}" name="Wypłaty"/>
    <tableColumn id="3" xr3:uid="{00000000-0010-0000-6900-000003000000}" name="Suma"/>
    <tableColumn id="4" xr3:uid="{00000000-0010-0000-6900-000004000000}" name="Koszty stałe"/>
    <tableColumn id="5" xr3:uid="{00000000-0010-0000-6900-000005000000}" name="Koszty dyn."/>
    <tableColumn id="6" xr3:uid="{00000000-0010-0000-6900-000006000000}" name="Pozostałe"/>
    <tableColumn id="7" xr3:uid="{00000000-0010-0000-6900-000007000000}" name="Podsumowanie"/>
  </tableColumns>
  <tableStyleInfo name="Styczeń25 - wydatki-style" showFirstColumn="1" showLastColumn="1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Table_107" displayName="Table_107" ref="B3:F14" headerRowCount="0">
  <tableColumns count="5">
    <tableColumn id="1" xr3:uid="{00000000-0010-0000-6A00-000001000000}" name="Column1"/>
    <tableColumn id="2" xr3:uid="{00000000-0010-0000-6A00-000002000000}" name="Column2"/>
    <tableColumn id="3" xr3:uid="{00000000-0010-0000-6A00-000003000000}" name="Column3"/>
    <tableColumn id="4" xr3:uid="{00000000-0010-0000-6A00-000004000000}" name="Column4"/>
    <tableColumn id="5" xr3:uid="{00000000-0010-0000-6A00-000005000000}" name="Column5"/>
  </tableColumns>
  <tableStyleInfo name="Styczeń25 - wydatki-style 2" showFirstColumn="1" showLastColumn="1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Table_108" displayName="Table_108" ref="H3:L17" headerRowCount="0">
  <tableColumns count="5">
    <tableColumn id="1" xr3:uid="{00000000-0010-0000-6B00-000001000000}" name="Column1"/>
    <tableColumn id="2" xr3:uid="{00000000-0010-0000-6B00-000002000000}" name="Column2"/>
    <tableColumn id="3" xr3:uid="{00000000-0010-0000-6B00-000003000000}" name="Column3"/>
    <tableColumn id="4" xr3:uid="{00000000-0010-0000-6B00-000004000000}" name="Column4"/>
    <tableColumn id="5" xr3:uid="{00000000-0010-0000-6B00-000005000000}" name="Column5"/>
  </tableColumns>
  <tableStyleInfo name="Styczeń25 - wydatki-style 3" showFirstColumn="1" showLastColumn="1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Table_109" displayName="Table_109" ref="B17:F21" headerRowCount="0">
  <tableColumns count="5">
    <tableColumn id="1" xr3:uid="{00000000-0010-0000-6C00-000001000000}" name="Column1"/>
    <tableColumn id="2" xr3:uid="{00000000-0010-0000-6C00-000002000000}" name="Column2"/>
    <tableColumn id="3" xr3:uid="{00000000-0010-0000-6C00-000003000000}" name="Column3"/>
    <tableColumn id="4" xr3:uid="{00000000-0010-0000-6C00-000004000000}" name="Column4"/>
    <tableColumn id="5" xr3:uid="{00000000-0010-0000-6C00-000005000000}" name="Column5"/>
  </tableColumns>
  <tableStyleInfo name="Styczeń25 - wydatki-style 4" showFirstColumn="1" showLastColumn="1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Table_110" displayName="Table_110" ref="H20:L29" headerRowCount="0">
  <tableColumns count="5">
    <tableColumn id="1" xr3:uid="{00000000-0010-0000-6D00-000001000000}" name="Column1"/>
    <tableColumn id="2" xr3:uid="{00000000-0010-0000-6D00-000002000000}" name="Column2"/>
    <tableColumn id="3" xr3:uid="{00000000-0010-0000-6D00-000003000000}" name="Column3"/>
    <tableColumn id="4" xr3:uid="{00000000-0010-0000-6D00-000004000000}" name="Column4"/>
    <tableColumn id="5" xr3:uid="{00000000-0010-0000-6D00-000005000000}" name="Column5"/>
  </tableColumns>
  <tableStyleInfo name="Styczeń25 - wydatki-style 5" showFirstColumn="1" showLastColumn="1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Table_111" displayName="Table_111" ref="B24:F34" headerRowCount="0">
  <tableColumns count="5">
    <tableColumn id="1" xr3:uid="{00000000-0010-0000-6E00-000001000000}" name="Column1"/>
    <tableColumn id="2" xr3:uid="{00000000-0010-0000-6E00-000002000000}" name="Column2"/>
    <tableColumn id="3" xr3:uid="{00000000-0010-0000-6E00-000003000000}" name="Column3"/>
    <tableColumn id="4" xr3:uid="{00000000-0010-0000-6E00-000004000000}" name="Column4"/>
    <tableColumn id="5" xr3:uid="{00000000-0010-0000-6E00-000005000000}" name="Column5"/>
  </tableColumns>
  <tableStyleInfo name="Styczeń25 - wydatki-style 6" showFirstColumn="1" showLastColumn="1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Table_112" displayName="Table_112" ref="H32:L41" headerRowCount="0">
  <tableColumns count="5">
    <tableColumn id="1" xr3:uid="{00000000-0010-0000-6F00-000001000000}" name="Column1"/>
    <tableColumn id="2" xr3:uid="{00000000-0010-0000-6F00-000002000000}" name="Column2"/>
    <tableColumn id="3" xr3:uid="{00000000-0010-0000-6F00-000003000000}" name="Column3"/>
    <tableColumn id="4" xr3:uid="{00000000-0010-0000-6F00-000004000000}" name="Column4"/>
    <tableColumn id="5" xr3:uid="{00000000-0010-0000-6F00-000005000000}" name="Column5"/>
  </tableColumns>
  <tableStyleInfo name="Styczeń25 - wydatki-style 7" showFirstColumn="1" showLastColumn="1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Table_113" displayName="Table_113" ref="N2:T5">
  <tableColumns count="7">
    <tableColumn id="1" xr3:uid="{00000000-0010-0000-7000-000001000000}" name="Kolumna nr 1"/>
    <tableColumn id="2" xr3:uid="{00000000-0010-0000-7000-000002000000}" name="Wypłaty"/>
    <tableColumn id="3" xr3:uid="{00000000-0010-0000-7000-000003000000}" name="Suma"/>
    <tableColumn id="4" xr3:uid="{00000000-0010-0000-7000-000004000000}" name="Koszty stałe"/>
    <tableColumn id="5" xr3:uid="{00000000-0010-0000-7000-000005000000}" name="Koszty dyn."/>
    <tableColumn id="6" xr3:uid="{00000000-0010-0000-7000-000006000000}" name="Pozostałe"/>
    <tableColumn id="7" xr3:uid="{00000000-0010-0000-7000-000007000000}" name="Podsumowanie"/>
  </tableColumns>
  <tableStyleInfo name="Grudzień24 - wydatki-style" showFirstColumn="1" showLastColumn="1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Table_114" displayName="Table_114" ref="B3:F14" headerRowCount="0">
  <tableColumns count="5">
    <tableColumn id="1" xr3:uid="{00000000-0010-0000-7100-000001000000}" name="Column1"/>
    <tableColumn id="2" xr3:uid="{00000000-0010-0000-7100-000002000000}" name="Column2"/>
    <tableColumn id="3" xr3:uid="{00000000-0010-0000-7100-000003000000}" name="Column3"/>
    <tableColumn id="4" xr3:uid="{00000000-0010-0000-7100-000004000000}" name="Column4"/>
    <tableColumn id="5" xr3:uid="{00000000-0010-0000-7100-000005000000}" name="Column5"/>
  </tableColumns>
  <tableStyleInfo name="Grudzień24 - wydatki-style 2" showFirstColumn="1" showLastColumn="1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Table_115" displayName="Table_115" ref="H3:L17" headerRowCount="0">
  <tableColumns count="5">
    <tableColumn id="1" xr3:uid="{00000000-0010-0000-7200-000001000000}" name="Column1"/>
    <tableColumn id="2" xr3:uid="{00000000-0010-0000-7200-000002000000}" name="Column2"/>
    <tableColumn id="3" xr3:uid="{00000000-0010-0000-7200-000003000000}" name="Column3"/>
    <tableColumn id="4" xr3:uid="{00000000-0010-0000-7200-000004000000}" name="Column4"/>
    <tableColumn id="5" xr3:uid="{00000000-0010-0000-7200-000005000000}" name="Column5"/>
  </tableColumns>
  <tableStyleInfo name="Grudzień24 - wydatki-style 3" showFirstColumn="1" showLastColumn="1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Table_116" displayName="Table_116" ref="B17:F21" headerRowCount="0">
  <tableColumns count="5">
    <tableColumn id="1" xr3:uid="{00000000-0010-0000-7300-000001000000}" name="Column1"/>
    <tableColumn id="2" xr3:uid="{00000000-0010-0000-7300-000002000000}" name="Column2"/>
    <tableColumn id="3" xr3:uid="{00000000-0010-0000-7300-000003000000}" name="Column3"/>
    <tableColumn id="4" xr3:uid="{00000000-0010-0000-7300-000004000000}" name="Column4"/>
    <tableColumn id="5" xr3:uid="{00000000-0010-0000-7300-000005000000}" name="Column5"/>
  </tableColumns>
  <tableStyleInfo name="Grudzień24 - wydatki-style 4" showFirstColumn="1" showLastColumn="1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Table_117" displayName="Table_117" ref="H20:L29" headerRowCount="0">
  <tableColumns count="5">
    <tableColumn id="1" xr3:uid="{00000000-0010-0000-7400-000001000000}" name="Column1"/>
    <tableColumn id="2" xr3:uid="{00000000-0010-0000-7400-000002000000}" name="Column2"/>
    <tableColumn id="3" xr3:uid="{00000000-0010-0000-7400-000003000000}" name="Column3"/>
    <tableColumn id="4" xr3:uid="{00000000-0010-0000-7400-000004000000}" name="Column4"/>
    <tableColumn id="5" xr3:uid="{00000000-0010-0000-7400-000005000000}" name="Column5"/>
  </tableColumns>
  <tableStyleInfo name="Grudzień24 - wydatki-style 5" showFirstColumn="1" showLastColumn="1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Table_118" displayName="Table_118" ref="B24:F34" headerRowCount="0">
  <tableColumns count="5">
    <tableColumn id="1" xr3:uid="{00000000-0010-0000-7500-000001000000}" name="Column1"/>
    <tableColumn id="2" xr3:uid="{00000000-0010-0000-7500-000002000000}" name="Column2"/>
    <tableColumn id="3" xr3:uid="{00000000-0010-0000-7500-000003000000}" name="Column3"/>
    <tableColumn id="4" xr3:uid="{00000000-0010-0000-7500-000004000000}" name="Column4"/>
    <tableColumn id="5" xr3:uid="{00000000-0010-0000-7500-000005000000}" name="Column5"/>
  </tableColumns>
  <tableStyleInfo name="Grudzień24 - wydatki-style 6" showFirstColumn="1" showLastColumn="1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Table_119" displayName="Table_119" ref="H32:L41" headerRowCount="0">
  <tableColumns count="5">
    <tableColumn id="1" xr3:uid="{00000000-0010-0000-7600-000001000000}" name="Column1"/>
    <tableColumn id="2" xr3:uid="{00000000-0010-0000-7600-000002000000}" name="Column2"/>
    <tableColumn id="3" xr3:uid="{00000000-0010-0000-7600-000003000000}" name="Column3"/>
    <tableColumn id="4" xr3:uid="{00000000-0010-0000-7600-000004000000}" name="Column4"/>
    <tableColumn id="5" xr3:uid="{00000000-0010-0000-7600-000005000000}" name="Column5"/>
  </tableColumns>
  <tableStyleInfo name="Grudzień24 - wydatki-style 7" showFirstColumn="1" showLastColumn="1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Table_120" displayName="Table_120" ref="N2:T5">
  <tableColumns count="7">
    <tableColumn id="1" xr3:uid="{00000000-0010-0000-7700-000001000000}" name="Kolumna nr 1"/>
    <tableColumn id="2" xr3:uid="{00000000-0010-0000-7700-000002000000}" name="Wypłaty"/>
    <tableColumn id="3" xr3:uid="{00000000-0010-0000-7700-000003000000}" name="Suma"/>
    <tableColumn id="4" xr3:uid="{00000000-0010-0000-7700-000004000000}" name="Koszty stałe"/>
    <tableColumn id="5" xr3:uid="{00000000-0010-0000-7700-000005000000}" name="Koszty dyn."/>
    <tableColumn id="6" xr3:uid="{00000000-0010-0000-7700-000006000000}" name="Pozostałe"/>
    <tableColumn id="7" xr3:uid="{00000000-0010-0000-7700-000007000000}" name="Podsumowanie"/>
  </tableColumns>
  <tableStyleInfo name="Szablon-style" showFirstColumn="1" showLastColumn="1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Table_121" displayName="Table_121" ref="B3:F14" headerRowCount="0">
  <tableColumns count="5">
    <tableColumn id="1" xr3:uid="{00000000-0010-0000-7800-000001000000}" name="Column1"/>
    <tableColumn id="2" xr3:uid="{00000000-0010-0000-7800-000002000000}" name="Column2"/>
    <tableColumn id="3" xr3:uid="{00000000-0010-0000-7800-000003000000}" name="Column3"/>
    <tableColumn id="4" xr3:uid="{00000000-0010-0000-7800-000004000000}" name="Column4"/>
    <tableColumn id="5" xr3:uid="{00000000-0010-0000-7800-000005000000}" name="Column5"/>
  </tableColumns>
  <tableStyleInfo name="Szablon-style 2" showFirstColumn="1" showLastColumn="1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Table_122" displayName="Table_122" ref="H3:L17" headerRowCount="0">
  <tableColumns count="5">
    <tableColumn id="1" xr3:uid="{00000000-0010-0000-7900-000001000000}" name="Column1"/>
    <tableColumn id="2" xr3:uid="{00000000-0010-0000-7900-000002000000}" name="Column2"/>
    <tableColumn id="3" xr3:uid="{00000000-0010-0000-7900-000003000000}" name="Column3"/>
    <tableColumn id="4" xr3:uid="{00000000-0010-0000-7900-000004000000}" name="Column4"/>
    <tableColumn id="5" xr3:uid="{00000000-0010-0000-7900-000005000000}" name="Column5"/>
  </tableColumns>
  <tableStyleInfo name="Szablon-style 3" showFirstColumn="1" showLastColumn="1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Table_123" displayName="Table_123" ref="B17:F21" headerRowCount="0">
  <tableColumns count="5">
    <tableColumn id="1" xr3:uid="{00000000-0010-0000-7A00-000001000000}" name="Column1"/>
    <tableColumn id="2" xr3:uid="{00000000-0010-0000-7A00-000002000000}" name="Column2"/>
    <tableColumn id="3" xr3:uid="{00000000-0010-0000-7A00-000003000000}" name="Column3"/>
    <tableColumn id="4" xr3:uid="{00000000-0010-0000-7A00-000004000000}" name="Column4"/>
    <tableColumn id="5" xr3:uid="{00000000-0010-0000-7A00-000005000000}" name="Column5"/>
  </tableColumns>
  <tableStyleInfo name="Szablon-style 4" showFirstColumn="1" showLastColumn="1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Table_124" displayName="Table_124" ref="H20:L29" headerRowCount="0">
  <tableColumns count="5">
    <tableColumn id="1" xr3:uid="{00000000-0010-0000-7B00-000001000000}" name="Column1"/>
    <tableColumn id="2" xr3:uid="{00000000-0010-0000-7B00-000002000000}" name="Column2"/>
    <tableColumn id="3" xr3:uid="{00000000-0010-0000-7B00-000003000000}" name="Column3"/>
    <tableColumn id="4" xr3:uid="{00000000-0010-0000-7B00-000004000000}" name="Column4"/>
    <tableColumn id="5" xr3:uid="{00000000-0010-0000-7B00-000005000000}" name="Column5"/>
  </tableColumns>
  <tableStyleInfo name="Szablon-style 5" showFirstColumn="1" showLastColumn="1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Table_125" displayName="Table_125" ref="B24:F34" headerRowCount="0">
  <tableColumns count="5">
    <tableColumn id="1" xr3:uid="{00000000-0010-0000-7C00-000001000000}" name="Column1"/>
    <tableColumn id="2" xr3:uid="{00000000-0010-0000-7C00-000002000000}" name="Column2"/>
    <tableColumn id="3" xr3:uid="{00000000-0010-0000-7C00-000003000000}" name="Column3"/>
    <tableColumn id="4" xr3:uid="{00000000-0010-0000-7C00-000004000000}" name="Column4"/>
    <tableColumn id="5" xr3:uid="{00000000-0010-0000-7C00-000005000000}" name="Column5"/>
  </tableColumns>
  <tableStyleInfo name="Szablon-style 6" showFirstColumn="1" showLastColumn="1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Table_126" displayName="Table_126" ref="H32:L41" headerRowCount="0">
  <tableColumns count="5">
    <tableColumn id="1" xr3:uid="{00000000-0010-0000-7D00-000001000000}" name="Column1"/>
    <tableColumn id="2" xr3:uid="{00000000-0010-0000-7D00-000002000000}" name="Column2"/>
    <tableColumn id="3" xr3:uid="{00000000-0010-0000-7D00-000003000000}" name="Column3"/>
    <tableColumn id="4" xr3:uid="{00000000-0010-0000-7D00-000004000000}" name="Column4"/>
    <tableColumn id="5" xr3:uid="{00000000-0010-0000-7D00-000005000000}" name="Column5"/>
  </tableColumns>
  <tableStyleInfo name="Szablon-style 7" showFirstColumn="1" showLastColumn="1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Table_127" displayName="Table_127" ref="A2:E17" headerRowCount="0">
  <tableColumns count="5">
    <tableColumn id="1" xr3:uid="{00000000-0010-0000-7E00-000001000000}" name="Column1"/>
    <tableColumn id="2" xr3:uid="{00000000-0010-0000-7E00-000002000000}" name="Column2"/>
    <tableColumn id="3" xr3:uid="{00000000-0010-0000-7E00-000003000000}" name="Column3"/>
    <tableColumn id="4" xr3:uid="{00000000-0010-0000-7E00-000004000000}" name="Column4"/>
    <tableColumn id="5" xr3:uid="{00000000-0010-0000-7E00-000005000000}" name="Column5"/>
  </tableColumns>
  <tableStyleInfo name="Listopad - wydatki-style" showFirstColumn="1" showLastColumn="1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Table_128" displayName="Table_128" ref="G2:K17" headerRowCount="0">
  <tableColumns count="5">
    <tableColumn id="1" xr3:uid="{00000000-0010-0000-7F00-000001000000}" name="Column1"/>
    <tableColumn id="2" xr3:uid="{00000000-0010-0000-7F00-000002000000}" name="Column2"/>
    <tableColumn id="3" xr3:uid="{00000000-0010-0000-7F00-000003000000}" name="Column3"/>
    <tableColumn id="4" xr3:uid="{00000000-0010-0000-7F00-000004000000}" name="Column4"/>
    <tableColumn id="5" xr3:uid="{00000000-0010-0000-7F00-000005000000}" name="Column5"/>
  </tableColumns>
  <tableStyleInfo name="Listopad - wydatki-style 2" showFirstColumn="1" showLastColumn="1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Table_129" displayName="Table_129" ref="M2:Q7" headerRowCount="0">
  <tableColumns count="5">
    <tableColumn id="1" xr3:uid="{00000000-0010-0000-8000-000001000000}" name="Column1"/>
    <tableColumn id="2" xr3:uid="{00000000-0010-0000-8000-000002000000}" name="Column2"/>
    <tableColumn id="3" xr3:uid="{00000000-0010-0000-8000-000003000000}" name="Column3"/>
    <tableColumn id="4" xr3:uid="{00000000-0010-0000-8000-000004000000}" name="Column4"/>
    <tableColumn id="5" xr3:uid="{00000000-0010-0000-8000-000005000000}" name="Column5"/>
  </tableColumns>
  <tableStyleInfo name="Listopad - wydatki-style 3" showFirstColumn="1" showLastColumn="1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Table_130" displayName="Table_130" ref="M12:P22" headerRowCount="0">
  <tableColumns count="4">
    <tableColumn id="1" xr3:uid="{00000000-0010-0000-8100-000001000000}" name="Column1"/>
    <tableColumn id="2" xr3:uid="{00000000-0010-0000-8100-000002000000}" name="Column2"/>
    <tableColumn id="3" xr3:uid="{00000000-0010-0000-8100-000003000000}" name="Column3"/>
    <tableColumn id="4" xr3:uid="{00000000-0010-0000-8100-000004000000}" name="Column4"/>
  </tableColumns>
  <tableStyleInfo name="Listopad - wydatki-style 4" showFirstColumn="1" showLastColumn="1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Table_131" displayName="Table_131" ref="A20:E25" headerRowCount="0">
  <tableColumns count="5">
    <tableColumn id="1" xr3:uid="{00000000-0010-0000-8200-000001000000}" name="Column1"/>
    <tableColumn id="2" xr3:uid="{00000000-0010-0000-8200-000002000000}" name="Column2"/>
    <tableColumn id="3" xr3:uid="{00000000-0010-0000-8200-000003000000}" name="Column3"/>
    <tableColumn id="4" xr3:uid="{00000000-0010-0000-8200-000004000000}" name="Column4"/>
    <tableColumn id="5" xr3:uid="{00000000-0010-0000-8200-000005000000}" name="Column5"/>
  </tableColumns>
  <tableStyleInfo name="Listopad - wydatki-style 5" showFirstColumn="1" showLastColumn="1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Table_132" displayName="Table_132" ref="G20:K25" headerRowCount="0">
  <tableColumns count="5">
    <tableColumn id="1" xr3:uid="{00000000-0010-0000-8300-000001000000}" name="Column1"/>
    <tableColumn id="2" xr3:uid="{00000000-0010-0000-8300-000002000000}" name="Column2"/>
    <tableColumn id="3" xr3:uid="{00000000-0010-0000-8300-000003000000}" name="Column3"/>
    <tableColumn id="4" xr3:uid="{00000000-0010-0000-8300-000004000000}" name="Column4"/>
    <tableColumn id="5" xr3:uid="{00000000-0010-0000-8300-000005000000}" name="Column5"/>
  </tableColumns>
  <tableStyleInfo name="Listopad - wydatki-style 6" showFirstColumn="1" showLastColumn="1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Table_133" displayName="Table_133" ref="A29:E33" headerRowCount="0">
  <tableColumns count="5">
    <tableColumn id="1" xr3:uid="{00000000-0010-0000-8400-000001000000}" name="Column1"/>
    <tableColumn id="2" xr3:uid="{00000000-0010-0000-8400-000002000000}" name="Column2"/>
    <tableColumn id="3" xr3:uid="{00000000-0010-0000-8400-000003000000}" name="Column3"/>
    <tableColumn id="4" xr3:uid="{00000000-0010-0000-8400-000004000000}" name="Column4"/>
    <tableColumn id="5" xr3:uid="{00000000-0010-0000-8400-000005000000}" name="Column5"/>
  </tableColumns>
  <tableStyleInfo name="Listopad - wydatki-style 7" showFirstColumn="1" showLastColumn="1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Table_134" displayName="Table_134" ref="G29:K38" headerRowCount="0">
  <tableColumns count="5">
    <tableColumn id="1" xr3:uid="{00000000-0010-0000-8500-000001000000}" name="Column1"/>
    <tableColumn id="2" xr3:uid="{00000000-0010-0000-8500-000002000000}" name="Column2"/>
    <tableColumn id="3" xr3:uid="{00000000-0010-0000-8500-000003000000}" name="Column3"/>
    <tableColumn id="4" xr3:uid="{00000000-0010-0000-8500-000004000000}" name="Column4"/>
    <tableColumn id="5" xr3:uid="{00000000-0010-0000-8500-000005000000}" name="Column5"/>
  </tableColumns>
  <tableStyleInfo name="Listopad - wydatki-style 8" showFirstColumn="1" showLastColumn="1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Table_135" displayName="Table_135" ref="A39:E40" headerRowCount="0">
  <tableColumns count="5">
    <tableColumn id="1" xr3:uid="{00000000-0010-0000-8600-000001000000}" name="Column1"/>
    <tableColumn id="2" xr3:uid="{00000000-0010-0000-8600-000002000000}" name="Column2"/>
    <tableColumn id="3" xr3:uid="{00000000-0010-0000-8600-000003000000}" name="Column3"/>
    <tableColumn id="4" xr3:uid="{00000000-0010-0000-8600-000004000000}" name="Column4"/>
    <tableColumn id="5" xr3:uid="{00000000-0010-0000-8600-000005000000}" name="Column5"/>
  </tableColumns>
  <tableStyleInfo name="Listopad - wydatki-style 9" showFirstColumn="1" showLastColumn="1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Table_136" displayName="Table_136" ref="G41:K42" headerRowCount="0">
  <tableColumns count="5">
    <tableColumn id="1" xr3:uid="{00000000-0010-0000-8700-000001000000}" name="Column1"/>
    <tableColumn id="2" xr3:uid="{00000000-0010-0000-8700-000002000000}" name="Column2"/>
    <tableColumn id="3" xr3:uid="{00000000-0010-0000-8700-000003000000}" name="Column3"/>
    <tableColumn id="4" xr3:uid="{00000000-0010-0000-8700-000004000000}" name="Column4"/>
    <tableColumn id="5" xr3:uid="{00000000-0010-0000-8700-000005000000}" name="Column5"/>
  </tableColumns>
  <tableStyleInfo name="Listopad - wydatki-style 10" showFirstColumn="1" showLastColumn="1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Table_137" displayName="Table_137" ref="A2:E17" headerRowCount="0">
  <tableColumns count="5">
    <tableColumn id="1" xr3:uid="{00000000-0010-0000-8800-000001000000}" name="Column1"/>
    <tableColumn id="2" xr3:uid="{00000000-0010-0000-8800-000002000000}" name="Column2"/>
    <tableColumn id="3" xr3:uid="{00000000-0010-0000-8800-000003000000}" name="Column3"/>
    <tableColumn id="4" xr3:uid="{00000000-0010-0000-8800-000004000000}" name="Column4"/>
    <tableColumn id="5" xr3:uid="{00000000-0010-0000-8800-000005000000}" name="Column5"/>
  </tableColumns>
  <tableStyleInfo name="Październik - wydatki-style" showFirstColumn="1" showLastColumn="1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Table_138" displayName="Table_138" ref="G2:K17" headerRowCount="0">
  <tableColumns count="5">
    <tableColumn id="1" xr3:uid="{00000000-0010-0000-8900-000001000000}" name="Column1"/>
    <tableColumn id="2" xr3:uid="{00000000-0010-0000-8900-000002000000}" name="Column2"/>
    <tableColumn id="3" xr3:uid="{00000000-0010-0000-8900-000003000000}" name="Column3"/>
    <tableColumn id="4" xr3:uid="{00000000-0010-0000-8900-000004000000}" name="Column4"/>
    <tableColumn id="5" xr3:uid="{00000000-0010-0000-8900-000005000000}" name="Column5"/>
  </tableColumns>
  <tableStyleInfo name="Październik - wydatki-style 2" showFirstColumn="1" showLastColumn="1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Table_139" displayName="Table_139" ref="M2:Q6" headerRowCount="0">
  <tableColumns count="5">
    <tableColumn id="1" xr3:uid="{00000000-0010-0000-8A00-000001000000}" name="Column1"/>
    <tableColumn id="2" xr3:uid="{00000000-0010-0000-8A00-000002000000}" name="Column2"/>
    <tableColumn id="3" xr3:uid="{00000000-0010-0000-8A00-000003000000}" name="Column3"/>
    <tableColumn id="4" xr3:uid="{00000000-0010-0000-8A00-000004000000}" name="Column4"/>
    <tableColumn id="5" xr3:uid="{00000000-0010-0000-8A00-000005000000}" name="Column5"/>
  </tableColumns>
  <tableStyleInfo name="Październik - wydatki-style 3" showFirstColumn="1" showLastColumn="1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Table_140" displayName="Table_140" ref="M12:P22" headerRowCount="0">
  <tableColumns count="4">
    <tableColumn id="1" xr3:uid="{00000000-0010-0000-8B00-000001000000}" name="Column1"/>
    <tableColumn id="2" xr3:uid="{00000000-0010-0000-8B00-000002000000}" name="Column2"/>
    <tableColumn id="3" xr3:uid="{00000000-0010-0000-8B00-000003000000}" name="Column3"/>
    <tableColumn id="4" xr3:uid="{00000000-0010-0000-8B00-000004000000}" name="Column4"/>
  </tableColumns>
  <tableStyleInfo name="Październik - wydatki-style 4" showFirstColumn="1" showLastColumn="1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Table_141" displayName="Table_141" ref="A20:E25" headerRowCount="0">
  <tableColumns count="5">
    <tableColumn id="1" xr3:uid="{00000000-0010-0000-8C00-000001000000}" name="Column1"/>
    <tableColumn id="2" xr3:uid="{00000000-0010-0000-8C00-000002000000}" name="Column2"/>
    <tableColumn id="3" xr3:uid="{00000000-0010-0000-8C00-000003000000}" name="Column3"/>
    <tableColumn id="4" xr3:uid="{00000000-0010-0000-8C00-000004000000}" name="Column4"/>
    <tableColumn id="5" xr3:uid="{00000000-0010-0000-8C00-000005000000}" name="Column5"/>
  </tableColumns>
  <tableStyleInfo name="Październik - wydatki-style 5" showFirstColumn="1" showLastColumn="1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Table_142" displayName="Table_142" ref="G20:K25" headerRowCount="0">
  <tableColumns count="5">
    <tableColumn id="1" xr3:uid="{00000000-0010-0000-8D00-000001000000}" name="Column1"/>
    <tableColumn id="2" xr3:uid="{00000000-0010-0000-8D00-000002000000}" name="Column2"/>
    <tableColumn id="3" xr3:uid="{00000000-0010-0000-8D00-000003000000}" name="Column3"/>
    <tableColumn id="4" xr3:uid="{00000000-0010-0000-8D00-000004000000}" name="Column4"/>
    <tableColumn id="5" xr3:uid="{00000000-0010-0000-8D00-000005000000}" name="Column5"/>
  </tableColumns>
  <tableStyleInfo name="Październik - wydatki-style 6" showFirstColumn="1" showLastColumn="1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Table_143" displayName="Table_143" ref="A29:E33" headerRowCount="0">
  <tableColumns count="5">
    <tableColumn id="1" xr3:uid="{00000000-0010-0000-8E00-000001000000}" name="Column1"/>
    <tableColumn id="2" xr3:uid="{00000000-0010-0000-8E00-000002000000}" name="Column2"/>
    <tableColumn id="3" xr3:uid="{00000000-0010-0000-8E00-000003000000}" name="Column3"/>
    <tableColumn id="4" xr3:uid="{00000000-0010-0000-8E00-000004000000}" name="Column4"/>
    <tableColumn id="5" xr3:uid="{00000000-0010-0000-8E00-000005000000}" name="Column5"/>
  </tableColumns>
  <tableStyleInfo name="Październik - wydatki-style 7" showFirstColumn="1" showLastColumn="1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Table_144" displayName="Table_144" ref="G29:K38" headerRowCount="0">
  <tableColumns count="5">
    <tableColumn id="1" xr3:uid="{00000000-0010-0000-8F00-000001000000}" name="Column1"/>
    <tableColumn id="2" xr3:uid="{00000000-0010-0000-8F00-000002000000}" name="Column2"/>
    <tableColumn id="3" xr3:uid="{00000000-0010-0000-8F00-000003000000}" name="Column3"/>
    <tableColumn id="4" xr3:uid="{00000000-0010-0000-8F00-000004000000}" name="Column4"/>
    <tableColumn id="5" xr3:uid="{00000000-0010-0000-8F00-000005000000}" name="Column5"/>
  </tableColumns>
  <tableStyleInfo name="Październik - wydatki-style 8" showFirstColumn="1" showLastColumn="1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Table_145" displayName="Table_145" ref="A39:E40" headerRowCount="0">
  <tableColumns count="5">
    <tableColumn id="1" xr3:uid="{00000000-0010-0000-9000-000001000000}" name="Column1"/>
    <tableColumn id="2" xr3:uid="{00000000-0010-0000-9000-000002000000}" name="Column2"/>
    <tableColumn id="3" xr3:uid="{00000000-0010-0000-9000-000003000000}" name="Column3"/>
    <tableColumn id="4" xr3:uid="{00000000-0010-0000-9000-000004000000}" name="Column4"/>
    <tableColumn id="5" xr3:uid="{00000000-0010-0000-9000-000005000000}" name="Column5"/>
  </tableColumns>
  <tableStyleInfo name="Październik - wydatki-style 9" showFirstColumn="1" showLastColumn="1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Table_146" displayName="Table_146" ref="G41:K42" headerRowCount="0">
  <tableColumns count="5">
    <tableColumn id="1" xr3:uid="{00000000-0010-0000-9100-000001000000}" name="Column1"/>
    <tableColumn id="2" xr3:uid="{00000000-0010-0000-9100-000002000000}" name="Column2"/>
    <tableColumn id="3" xr3:uid="{00000000-0010-0000-9100-000003000000}" name="Column3"/>
    <tableColumn id="4" xr3:uid="{00000000-0010-0000-9100-000004000000}" name="Column4"/>
    <tableColumn id="5" xr3:uid="{00000000-0010-0000-9100-000005000000}" name="Column5"/>
  </tableColumns>
  <tableStyleInfo name="Październik - wydatki-style 10" showFirstColumn="1" showLastColumn="1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Table_147" displayName="Table_147" ref="A2:E17" headerRowCount="0">
  <tableColumns count="5">
    <tableColumn id="1" xr3:uid="{00000000-0010-0000-9200-000001000000}" name="Column1"/>
    <tableColumn id="2" xr3:uid="{00000000-0010-0000-9200-000002000000}" name="Column2"/>
    <tableColumn id="3" xr3:uid="{00000000-0010-0000-9200-000003000000}" name="Column3"/>
    <tableColumn id="4" xr3:uid="{00000000-0010-0000-9200-000004000000}" name="Column4"/>
    <tableColumn id="5" xr3:uid="{00000000-0010-0000-9200-000005000000}" name="Column5"/>
  </tableColumns>
  <tableStyleInfo name="Wrzesień - wydatki-style" showFirstColumn="1" showLastColumn="1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Table_148" displayName="Table_148" ref="G2:K17" headerRowCount="0">
  <tableColumns count="5">
    <tableColumn id="1" xr3:uid="{00000000-0010-0000-9300-000001000000}" name="Column1"/>
    <tableColumn id="2" xr3:uid="{00000000-0010-0000-9300-000002000000}" name="Column2"/>
    <tableColumn id="3" xr3:uid="{00000000-0010-0000-9300-000003000000}" name="Column3"/>
    <tableColumn id="4" xr3:uid="{00000000-0010-0000-9300-000004000000}" name="Column4"/>
    <tableColumn id="5" xr3:uid="{00000000-0010-0000-9300-000005000000}" name="Column5"/>
  </tableColumns>
  <tableStyleInfo name="Wrzesień - wydatki-style 2" showFirstColumn="1" showLastColumn="1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Table_149" displayName="Table_149" ref="M2:Q6" headerRowCount="0">
  <tableColumns count="5">
    <tableColumn id="1" xr3:uid="{00000000-0010-0000-9400-000001000000}" name="Column1"/>
    <tableColumn id="2" xr3:uid="{00000000-0010-0000-9400-000002000000}" name="Column2"/>
    <tableColumn id="3" xr3:uid="{00000000-0010-0000-9400-000003000000}" name="Column3"/>
    <tableColumn id="4" xr3:uid="{00000000-0010-0000-9400-000004000000}" name="Column4"/>
    <tableColumn id="5" xr3:uid="{00000000-0010-0000-9400-000005000000}" name="Column5"/>
  </tableColumns>
  <tableStyleInfo name="Wrzesień - wydatki-style 3" showFirstColumn="1" showLastColumn="1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Table_150" displayName="Table_150" ref="M12:O22" headerRowCount="0">
  <tableColumns count="3">
    <tableColumn id="1" xr3:uid="{00000000-0010-0000-9500-000001000000}" name="Column1"/>
    <tableColumn id="2" xr3:uid="{00000000-0010-0000-9500-000002000000}" name="Column2"/>
    <tableColumn id="3" xr3:uid="{00000000-0010-0000-9500-000003000000}" name="Column3"/>
  </tableColumns>
  <tableStyleInfo name="Wrzesień - wydatki-style 4" showFirstColumn="1" showLastColumn="1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Table_151" displayName="Table_151" ref="A20:E25" headerRowCount="0">
  <tableColumns count="5">
    <tableColumn id="1" xr3:uid="{00000000-0010-0000-9600-000001000000}" name="Column1"/>
    <tableColumn id="2" xr3:uid="{00000000-0010-0000-9600-000002000000}" name="Column2"/>
    <tableColumn id="3" xr3:uid="{00000000-0010-0000-9600-000003000000}" name="Column3"/>
    <tableColumn id="4" xr3:uid="{00000000-0010-0000-9600-000004000000}" name="Column4"/>
    <tableColumn id="5" xr3:uid="{00000000-0010-0000-9600-000005000000}" name="Column5"/>
  </tableColumns>
  <tableStyleInfo name="Wrzesień - wydatki-style 5" showFirstColumn="1" showLastColumn="1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Table_152" displayName="Table_152" ref="G20:K25" headerRowCount="0">
  <tableColumns count="5">
    <tableColumn id="1" xr3:uid="{00000000-0010-0000-9700-000001000000}" name="Column1"/>
    <tableColumn id="2" xr3:uid="{00000000-0010-0000-9700-000002000000}" name="Column2"/>
    <tableColumn id="3" xr3:uid="{00000000-0010-0000-9700-000003000000}" name="Column3"/>
    <tableColumn id="4" xr3:uid="{00000000-0010-0000-9700-000004000000}" name="Column4"/>
    <tableColumn id="5" xr3:uid="{00000000-0010-0000-9700-000005000000}" name="Column5"/>
  </tableColumns>
  <tableStyleInfo name="Wrzesień - wydatki-style 6" showFirstColumn="1" showLastColumn="1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Table_153" displayName="Table_153" ref="A29:E33" headerRowCount="0">
  <tableColumns count="5">
    <tableColumn id="1" xr3:uid="{00000000-0010-0000-9800-000001000000}" name="Column1"/>
    <tableColumn id="2" xr3:uid="{00000000-0010-0000-9800-000002000000}" name="Column2"/>
    <tableColumn id="3" xr3:uid="{00000000-0010-0000-9800-000003000000}" name="Column3"/>
    <tableColumn id="4" xr3:uid="{00000000-0010-0000-9800-000004000000}" name="Column4"/>
    <tableColumn id="5" xr3:uid="{00000000-0010-0000-9800-000005000000}" name="Column5"/>
  </tableColumns>
  <tableStyleInfo name="Wrzesień - wydatki-style 7" showFirstColumn="1" showLastColumn="1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Table_154" displayName="Table_154" ref="G29:K35" headerRowCount="0">
  <tableColumns count="5">
    <tableColumn id="1" xr3:uid="{00000000-0010-0000-9900-000001000000}" name="Column1"/>
    <tableColumn id="2" xr3:uid="{00000000-0010-0000-9900-000002000000}" name="Column2"/>
    <tableColumn id="3" xr3:uid="{00000000-0010-0000-9900-000003000000}" name="Column3"/>
    <tableColumn id="4" xr3:uid="{00000000-0010-0000-9900-000004000000}" name="Column4"/>
    <tableColumn id="5" xr3:uid="{00000000-0010-0000-9900-000005000000}" name="Column5"/>
  </tableColumns>
  <tableStyleInfo name="Wrzesień - wydatki-style 8" showFirstColumn="1" showLastColumn="1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Table_155" displayName="Table_155" ref="A36:E37" headerRowCount="0">
  <tableColumns count="5">
    <tableColumn id="1" xr3:uid="{00000000-0010-0000-9A00-000001000000}" name="Column1"/>
    <tableColumn id="2" xr3:uid="{00000000-0010-0000-9A00-000002000000}" name="Column2"/>
    <tableColumn id="3" xr3:uid="{00000000-0010-0000-9A00-000003000000}" name="Column3"/>
    <tableColumn id="4" xr3:uid="{00000000-0010-0000-9A00-000004000000}" name="Column4"/>
    <tableColumn id="5" xr3:uid="{00000000-0010-0000-9A00-000005000000}" name="Column5"/>
  </tableColumns>
  <tableStyleInfo name="Wrzesień - wydatki-style 9" showFirstColumn="1" showLastColumn="1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Table_156" displayName="Table_156" ref="G38:K39" headerRowCount="0">
  <tableColumns count="5">
    <tableColumn id="1" xr3:uid="{00000000-0010-0000-9B00-000001000000}" name="Column1"/>
    <tableColumn id="2" xr3:uid="{00000000-0010-0000-9B00-000002000000}" name="Column2"/>
    <tableColumn id="3" xr3:uid="{00000000-0010-0000-9B00-000003000000}" name="Column3"/>
    <tableColumn id="4" xr3:uid="{00000000-0010-0000-9B00-000004000000}" name="Column4"/>
    <tableColumn id="5" xr3:uid="{00000000-0010-0000-9B00-000005000000}" name="Column5"/>
  </tableColumns>
  <tableStyleInfo name="Wrzesień - wydatki-style 10" showFirstColumn="1" showLastColumn="1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Table_157" displayName="Table_157" ref="A2:E17" headerRowCount="0">
  <tableColumns count="5">
    <tableColumn id="1" xr3:uid="{00000000-0010-0000-9C00-000001000000}" name="Column1"/>
    <tableColumn id="2" xr3:uid="{00000000-0010-0000-9C00-000002000000}" name="Column2"/>
    <tableColumn id="3" xr3:uid="{00000000-0010-0000-9C00-000003000000}" name="Column3"/>
    <tableColumn id="4" xr3:uid="{00000000-0010-0000-9C00-000004000000}" name="Column4"/>
    <tableColumn id="5" xr3:uid="{00000000-0010-0000-9C00-000005000000}" name="Column5"/>
  </tableColumns>
  <tableStyleInfo name="Sierpień - wydatki-style" showFirstColumn="1" showLastColumn="1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Table_158" displayName="Table_158" ref="G2:K17" headerRowCount="0">
  <tableColumns count="5">
    <tableColumn id="1" xr3:uid="{00000000-0010-0000-9D00-000001000000}" name="Column1"/>
    <tableColumn id="2" xr3:uid="{00000000-0010-0000-9D00-000002000000}" name="Column2"/>
    <tableColumn id="3" xr3:uid="{00000000-0010-0000-9D00-000003000000}" name="Column3"/>
    <tableColumn id="4" xr3:uid="{00000000-0010-0000-9D00-000004000000}" name="Column4"/>
    <tableColumn id="5" xr3:uid="{00000000-0010-0000-9D00-000005000000}" name="Column5"/>
  </tableColumns>
  <tableStyleInfo name="Sierpień - wydatki-style 2" showFirstColumn="1" showLastColumn="1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Table_159" displayName="Table_159" ref="M2:Q6" headerRowCount="0">
  <tableColumns count="5">
    <tableColumn id="1" xr3:uid="{00000000-0010-0000-9E00-000001000000}" name="Column1"/>
    <tableColumn id="2" xr3:uid="{00000000-0010-0000-9E00-000002000000}" name="Column2"/>
    <tableColumn id="3" xr3:uid="{00000000-0010-0000-9E00-000003000000}" name="Column3"/>
    <tableColumn id="4" xr3:uid="{00000000-0010-0000-9E00-000004000000}" name="Column4"/>
    <tableColumn id="5" xr3:uid="{00000000-0010-0000-9E00-000005000000}" name="Column5"/>
  </tableColumns>
  <tableStyleInfo name="Sierpień - wydatki-style 3" showFirstColumn="1" showLastColumn="1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Table_160" displayName="Table_160" ref="M12:O22" headerRowCount="0">
  <tableColumns count="3">
    <tableColumn id="1" xr3:uid="{00000000-0010-0000-9F00-000001000000}" name="Column1"/>
    <tableColumn id="2" xr3:uid="{00000000-0010-0000-9F00-000002000000}" name="Column2"/>
    <tableColumn id="3" xr3:uid="{00000000-0010-0000-9F00-000003000000}" name="Column3"/>
  </tableColumns>
  <tableStyleInfo name="Sierpień - wydatki-style 4" showFirstColumn="1" showLastColumn="1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Table_161" displayName="Table_161" ref="A20:E25" headerRowCount="0">
  <tableColumns count="5">
    <tableColumn id="1" xr3:uid="{00000000-0010-0000-A000-000001000000}" name="Column1"/>
    <tableColumn id="2" xr3:uid="{00000000-0010-0000-A000-000002000000}" name="Column2"/>
    <tableColumn id="3" xr3:uid="{00000000-0010-0000-A000-000003000000}" name="Column3"/>
    <tableColumn id="4" xr3:uid="{00000000-0010-0000-A000-000004000000}" name="Column4"/>
    <tableColumn id="5" xr3:uid="{00000000-0010-0000-A000-000005000000}" name="Column5"/>
  </tableColumns>
  <tableStyleInfo name="Sierpień - wydatki-style 5" showFirstColumn="1" showLastColumn="1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Table_162" displayName="Table_162" ref="G20:K25" headerRowCount="0">
  <tableColumns count="5">
    <tableColumn id="1" xr3:uid="{00000000-0010-0000-A100-000001000000}" name="Column1"/>
    <tableColumn id="2" xr3:uid="{00000000-0010-0000-A100-000002000000}" name="Column2"/>
    <tableColumn id="3" xr3:uid="{00000000-0010-0000-A100-000003000000}" name="Column3"/>
    <tableColumn id="4" xr3:uid="{00000000-0010-0000-A100-000004000000}" name="Column4"/>
    <tableColumn id="5" xr3:uid="{00000000-0010-0000-A100-000005000000}" name="Column5"/>
  </tableColumns>
  <tableStyleInfo name="Sierpień - wydatki-style 6" showFirstColumn="1" showLastColumn="1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Table_163" displayName="Table_163" ref="A29:E33" headerRowCount="0">
  <tableColumns count="5">
    <tableColumn id="1" xr3:uid="{00000000-0010-0000-A200-000001000000}" name="Column1"/>
    <tableColumn id="2" xr3:uid="{00000000-0010-0000-A200-000002000000}" name="Column2"/>
    <tableColumn id="3" xr3:uid="{00000000-0010-0000-A200-000003000000}" name="Column3"/>
    <tableColumn id="4" xr3:uid="{00000000-0010-0000-A200-000004000000}" name="Column4"/>
    <tableColumn id="5" xr3:uid="{00000000-0010-0000-A200-000005000000}" name="Column5"/>
  </tableColumns>
  <tableStyleInfo name="Sierpień - wydatki-style 7" showFirstColumn="1" showLastColumn="1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Table_164" displayName="Table_164" ref="G29:K35" headerRowCount="0">
  <tableColumns count="5">
    <tableColumn id="1" xr3:uid="{00000000-0010-0000-A300-000001000000}" name="Column1"/>
    <tableColumn id="2" xr3:uid="{00000000-0010-0000-A300-000002000000}" name="Column2"/>
    <tableColumn id="3" xr3:uid="{00000000-0010-0000-A300-000003000000}" name="Column3"/>
    <tableColumn id="4" xr3:uid="{00000000-0010-0000-A300-000004000000}" name="Column4"/>
    <tableColumn id="5" xr3:uid="{00000000-0010-0000-A300-000005000000}" name="Column5"/>
  </tableColumns>
  <tableStyleInfo name="Sierpień - wydatki-style 8" showFirstColumn="1" showLastColumn="1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Table_165" displayName="Table_165" ref="A36:E37" headerRowCount="0">
  <tableColumns count="5">
    <tableColumn id="1" xr3:uid="{00000000-0010-0000-A400-000001000000}" name="Column1"/>
    <tableColumn id="2" xr3:uid="{00000000-0010-0000-A400-000002000000}" name="Column2"/>
    <tableColumn id="3" xr3:uid="{00000000-0010-0000-A400-000003000000}" name="Column3"/>
    <tableColumn id="4" xr3:uid="{00000000-0010-0000-A400-000004000000}" name="Column4"/>
    <tableColumn id="5" xr3:uid="{00000000-0010-0000-A400-000005000000}" name="Column5"/>
  </tableColumns>
  <tableStyleInfo name="Sierpień - wydatki-style 9" showFirstColumn="1" showLastColumn="1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Table_166" displayName="Table_166" ref="G38:K39" headerRowCount="0">
  <tableColumns count="5">
    <tableColumn id="1" xr3:uid="{00000000-0010-0000-A500-000001000000}" name="Column1"/>
    <tableColumn id="2" xr3:uid="{00000000-0010-0000-A500-000002000000}" name="Column2"/>
    <tableColumn id="3" xr3:uid="{00000000-0010-0000-A500-000003000000}" name="Column3"/>
    <tableColumn id="4" xr3:uid="{00000000-0010-0000-A500-000004000000}" name="Column4"/>
    <tableColumn id="5" xr3:uid="{00000000-0010-0000-A500-000005000000}" name="Column5"/>
  </tableColumns>
  <tableStyleInfo name="Sierpień - wydatki-style 10" showFirstColumn="1" showLastColumn="1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Table_167" displayName="Table_167" ref="A2:E17" headerRowCount="0">
  <tableColumns count="5">
    <tableColumn id="1" xr3:uid="{00000000-0010-0000-A600-000001000000}" name="Column1"/>
    <tableColumn id="2" xr3:uid="{00000000-0010-0000-A600-000002000000}" name="Column2"/>
    <tableColumn id="3" xr3:uid="{00000000-0010-0000-A600-000003000000}" name="Column3"/>
    <tableColumn id="4" xr3:uid="{00000000-0010-0000-A600-000004000000}" name="Column4"/>
    <tableColumn id="5" xr3:uid="{00000000-0010-0000-A600-000005000000}" name="Column5"/>
  </tableColumns>
  <tableStyleInfo name="Lipiec - wydatki-style" showFirstColumn="1" showLastColumn="1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Table_168" displayName="Table_168" ref="G2:K17" headerRowCount="0">
  <tableColumns count="5">
    <tableColumn id="1" xr3:uid="{00000000-0010-0000-A700-000001000000}" name="Column1"/>
    <tableColumn id="2" xr3:uid="{00000000-0010-0000-A700-000002000000}" name="Column2"/>
    <tableColumn id="3" xr3:uid="{00000000-0010-0000-A700-000003000000}" name="Column3"/>
    <tableColumn id="4" xr3:uid="{00000000-0010-0000-A700-000004000000}" name="Column4"/>
    <tableColumn id="5" xr3:uid="{00000000-0010-0000-A700-000005000000}" name="Column5"/>
  </tableColumns>
  <tableStyleInfo name="Lipiec - wydatki-style 2" showFirstColumn="1" showLastColumn="1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Table_169" displayName="Table_169" ref="M2:Q6" headerRowCount="0">
  <tableColumns count="5">
    <tableColumn id="1" xr3:uid="{00000000-0010-0000-A800-000001000000}" name="Column1"/>
    <tableColumn id="2" xr3:uid="{00000000-0010-0000-A800-000002000000}" name="Column2"/>
    <tableColumn id="3" xr3:uid="{00000000-0010-0000-A800-000003000000}" name="Column3"/>
    <tableColumn id="4" xr3:uid="{00000000-0010-0000-A800-000004000000}" name="Column4"/>
    <tableColumn id="5" xr3:uid="{00000000-0010-0000-A800-000005000000}" name="Column5"/>
  </tableColumns>
  <tableStyleInfo name="Lipiec - wydatki-style 3" showFirstColumn="1" showLastColumn="1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Table_170" displayName="Table_170" ref="M12:N22" headerRowCount="0">
  <tableColumns count="2">
    <tableColumn id="1" xr3:uid="{00000000-0010-0000-A900-000001000000}" name="Column1"/>
    <tableColumn id="2" xr3:uid="{00000000-0010-0000-A900-000002000000}" name="Column2"/>
  </tableColumns>
  <tableStyleInfo name="Lipiec - wydatki-style 4" showFirstColumn="1" showLastColumn="1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Table_171" displayName="Table_171" ref="A20:E25" headerRowCount="0">
  <tableColumns count="5">
    <tableColumn id="1" xr3:uid="{00000000-0010-0000-AA00-000001000000}" name="Column1"/>
    <tableColumn id="2" xr3:uid="{00000000-0010-0000-AA00-000002000000}" name="Column2"/>
    <tableColumn id="3" xr3:uid="{00000000-0010-0000-AA00-000003000000}" name="Column3"/>
    <tableColumn id="4" xr3:uid="{00000000-0010-0000-AA00-000004000000}" name="Column4"/>
    <tableColumn id="5" xr3:uid="{00000000-0010-0000-AA00-000005000000}" name="Column5"/>
  </tableColumns>
  <tableStyleInfo name="Lipiec - wydatki-style 5" showFirstColumn="1" showLastColumn="1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Table_172" displayName="Table_172" ref="G20:K25" headerRowCount="0">
  <tableColumns count="5">
    <tableColumn id="1" xr3:uid="{00000000-0010-0000-AB00-000001000000}" name="Column1"/>
    <tableColumn id="2" xr3:uid="{00000000-0010-0000-AB00-000002000000}" name="Column2"/>
    <tableColumn id="3" xr3:uid="{00000000-0010-0000-AB00-000003000000}" name="Column3"/>
    <tableColumn id="4" xr3:uid="{00000000-0010-0000-AB00-000004000000}" name="Column4"/>
    <tableColumn id="5" xr3:uid="{00000000-0010-0000-AB00-000005000000}" name="Column5"/>
  </tableColumns>
  <tableStyleInfo name="Lipiec - wydatki-style 6" showFirstColumn="1" showLastColumn="1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Table_173" displayName="Table_173" ref="A29:E33" headerRowCount="0">
  <tableColumns count="5">
    <tableColumn id="1" xr3:uid="{00000000-0010-0000-AC00-000001000000}" name="Column1"/>
    <tableColumn id="2" xr3:uid="{00000000-0010-0000-AC00-000002000000}" name="Column2"/>
    <tableColumn id="3" xr3:uid="{00000000-0010-0000-AC00-000003000000}" name="Column3"/>
    <tableColumn id="4" xr3:uid="{00000000-0010-0000-AC00-000004000000}" name="Column4"/>
    <tableColumn id="5" xr3:uid="{00000000-0010-0000-AC00-000005000000}" name="Column5"/>
  </tableColumns>
  <tableStyleInfo name="Lipiec - wydatki-style 7" showFirstColumn="1" showLastColumn="1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Table_174" displayName="Table_174" ref="G29:K33" headerRowCount="0">
  <tableColumns count="5">
    <tableColumn id="1" xr3:uid="{00000000-0010-0000-AD00-000001000000}" name="Column1"/>
    <tableColumn id="2" xr3:uid="{00000000-0010-0000-AD00-000002000000}" name="Column2"/>
    <tableColumn id="3" xr3:uid="{00000000-0010-0000-AD00-000003000000}" name="Column3"/>
    <tableColumn id="4" xr3:uid="{00000000-0010-0000-AD00-000004000000}" name="Column4"/>
    <tableColumn id="5" xr3:uid="{00000000-0010-0000-AD00-000005000000}" name="Column5"/>
  </tableColumns>
  <tableStyleInfo name="Lipiec - wydatki-style 8" showFirstColumn="1" showLastColumn="1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Table_175" displayName="Table_175" ref="A36:E37" headerRowCount="0">
  <tableColumns count="5">
    <tableColumn id="1" xr3:uid="{00000000-0010-0000-AE00-000001000000}" name="Column1"/>
    <tableColumn id="2" xr3:uid="{00000000-0010-0000-AE00-000002000000}" name="Column2"/>
    <tableColumn id="3" xr3:uid="{00000000-0010-0000-AE00-000003000000}" name="Column3"/>
    <tableColumn id="4" xr3:uid="{00000000-0010-0000-AE00-000004000000}" name="Column4"/>
    <tableColumn id="5" xr3:uid="{00000000-0010-0000-AE00-000005000000}" name="Column5"/>
  </tableColumns>
  <tableStyleInfo name="Lipiec - wydatki-style 9" showFirstColumn="1" showLastColumn="1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Table_176" displayName="Table_176" ref="G36:K37" headerRowCount="0">
  <tableColumns count="5">
    <tableColumn id="1" xr3:uid="{00000000-0010-0000-AF00-000001000000}" name="Column1"/>
    <tableColumn id="2" xr3:uid="{00000000-0010-0000-AF00-000002000000}" name="Column2"/>
    <tableColumn id="3" xr3:uid="{00000000-0010-0000-AF00-000003000000}" name="Column3"/>
    <tableColumn id="4" xr3:uid="{00000000-0010-0000-AF00-000004000000}" name="Column4"/>
    <tableColumn id="5" xr3:uid="{00000000-0010-0000-AF00-000005000000}" name="Column5"/>
  </tableColumns>
  <tableStyleInfo name="Lipiec - wydatki-style 10" showFirstColumn="1" showLastColumn="1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Table_177" displayName="Table_177" ref="A2:E17" headerRowCount="0">
  <tableColumns count="5">
    <tableColumn id="1" xr3:uid="{00000000-0010-0000-B000-000001000000}" name="Column1"/>
    <tableColumn id="2" xr3:uid="{00000000-0010-0000-B000-000002000000}" name="Column2"/>
    <tableColumn id="3" xr3:uid="{00000000-0010-0000-B000-000003000000}" name="Column3"/>
    <tableColumn id="4" xr3:uid="{00000000-0010-0000-B000-000004000000}" name="Column4"/>
    <tableColumn id="5" xr3:uid="{00000000-0010-0000-B000-000005000000}" name="Column5"/>
  </tableColumns>
  <tableStyleInfo name="Czerwiec - wydatki -style" showFirstColumn="1" showLastColumn="1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Table_178" displayName="Table_178" ref="G2:K17" headerRowCount="0">
  <tableColumns count="5">
    <tableColumn id="1" xr3:uid="{00000000-0010-0000-B100-000001000000}" name="Column1"/>
    <tableColumn id="2" xr3:uid="{00000000-0010-0000-B100-000002000000}" name="Column2"/>
    <tableColumn id="3" xr3:uid="{00000000-0010-0000-B100-000003000000}" name="Column3"/>
    <tableColumn id="4" xr3:uid="{00000000-0010-0000-B100-000004000000}" name="Column4"/>
    <tableColumn id="5" xr3:uid="{00000000-0010-0000-B100-000005000000}" name="Column5"/>
  </tableColumns>
  <tableStyleInfo name="Czerwiec - wydatki -style 2" showFirstColumn="1" showLastColumn="1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Table_179" displayName="Table_179" ref="M2:Q6" headerRowCount="0">
  <tableColumns count="5">
    <tableColumn id="1" xr3:uid="{00000000-0010-0000-B200-000001000000}" name="Column1"/>
    <tableColumn id="2" xr3:uid="{00000000-0010-0000-B200-000002000000}" name="Column2"/>
    <tableColumn id="3" xr3:uid="{00000000-0010-0000-B200-000003000000}" name="Column3"/>
    <tableColumn id="4" xr3:uid="{00000000-0010-0000-B200-000004000000}" name="Column4"/>
    <tableColumn id="5" xr3:uid="{00000000-0010-0000-B200-000005000000}" name="Column5"/>
  </tableColumns>
  <tableStyleInfo name="Czerwiec - wydatki -style 3" showFirstColumn="1" showLastColumn="1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Table_180" displayName="Table_180" ref="A20:E25" headerRowCount="0">
  <tableColumns count="5">
    <tableColumn id="1" xr3:uid="{00000000-0010-0000-B300-000001000000}" name="Column1"/>
    <tableColumn id="2" xr3:uid="{00000000-0010-0000-B300-000002000000}" name="Column2"/>
    <tableColumn id="3" xr3:uid="{00000000-0010-0000-B300-000003000000}" name="Column3"/>
    <tableColumn id="4" xr3:uid="{00000000-0010-0000-B300-000004000000}" name="Column4"/>
    <tableColumn id="5" xr3:uid="{00000000-0010-0000-B300-000005000000}" name="Column5"/>
  </tableColumns>
  <tableStyleInfo name="Czerwiec - wydatki -style 4" showFirstColumn="1" showLastColumn="1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Table_181" displayName="Table_181" ref="G20:K25" headerRowCount="0">
  <tableColumns count="5">
    <tableColumn id="1" xr3:uid="{00000000-0010-0000-B400-000001000000}" name="Column1"/>
    <tableColumn id="2" xr3:uid="{00000000-0010-0000-B400-000002000000}" name="Column2"/>
    <tableColumn id="3" xr3:uid="{00000000-0010-0000-B400-000003000000}" name="Column3"/>
    <tableColumn id="4" xr3:uid="{00000000-0010-0000-B400-000004000000}" name="Column4"/>
    <tableColumn id="5" xr3:uid="{00000000-0010-0000-B400-000005000000}" name="Column5"/>
  </tableColumns>
  <tableStyleInfo name="Czerwiec - wydatki -style 5" showFirstColumn="1" showLastColumn="1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Table_182" displayName="Table_182" ref="A29:E33" headerRowCount="0">
  <tableColumns count="5">
    <tableColumn id="1" xr3:uid="{00000000-0010-0000-B500-000001000000}" name="Column1"/>
    <tableColumn id="2" xr3:uid="{00000000-0010-0000-B500-000002000000}" name="Column2"/>
    <tableColumn id="3" xr3:uid="{00000000-0010-0000-B500-000003000000}" name="Column3"/>
    <tableColumn id="4" xr3:uid="{00000000-0010-0000-B500-000004000000}" name="Column4"/>
    <tableColumn id="5" xr3:uid="{00000000-0010-0000-B500-000005000000}" name="Column5"/>
  </tableColumns>
  <tableStyleInfo name="Czerwiec - wydatki -style 6" showFirstColumn="1" showLastColumn="1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Table_183" displayName="Table_183" ref="G29:K33" headerRowCount="0">
  <tableColumns count="5">
    <tableColumn id="1" xr3:uid="{00000000-0010-0000-B600-000001000000}" name="Column1"/>
    <tableColumn id="2" xr3:uid="{00000000-0010-0000-B600-000002000000}" name="Column2"/>
    <tableColumn id="3" xr3:uid="{00000000-0010-0000-B600-000003000000}" name="Column3"/>
    <tableColumn id="4" xr3:uid="{00000000-0010-0000-B600-000004000000}" name="Column4"/>
    <tableColumn id="5" xr3:uid="{00000000-0010-0000-B600-000005000000}" name="Column5"/>
  </tableColumns>
  <tableStyleInfo name="Czerwiec - wydatki -style 7" showFirstColumn="1" showLastColumn="1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Table_184" displayName="Table_184" ref="A36:E37" headerRowCount="0">
  <tableColumns count="5">
    <tableColumn id="1" xr3:uid="{00000000-0010-0000-B700-000001000000}" name="Column1"/>
    <tableColumn id="2" xr3:uid="{00000000-0010-0000-B700-000002000000}" name="Column2"/>
    <tableColumn id="3" xr3:uid="{00000000-0010-0000-B700-000003000000}" name="Column3"/>
    <tableColumn id="4" xr3:uid="{00000000-0010-0000-B700-000004000000}" name="Column4"/>
    <tableColumn id="5" xr3:uid="{00000000-0010-0000-B700-000005000000}" name="Column5"/>
  </tableColumns>
  <tableStyleInfo name="Czerwiec - wydatki -style 8" showFirstColumn="1" showLastColumn="1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Table_185" displayName="Table_185" ref="G36:K37" headerRowCount="0">
  <tableColumns count="5">
    <tableColumn id="1" xr3:uid="{00000000-0010-0000-B800-000001000000}" name="Column1"/>
    <tableColumn id="2" xr3:uid="{00000000-0010-0000-B800-000002000000}" name="Column2"/>
    <tableColumn id="3" xr3:uid="{00000000-0010-0000-B800-000003000000}" name="Column3"/>
    <tableColumn id="4" xr3:uid="{00000000-0010-0000-B800-000004000000}" name="Column4"/>
    <tableColumn id="5" xr3:uid="{00000000-0010-0000-B800-000005000000}" name="Column5"/>
  </tableColumns>
  <tableStyleInfo name="Czerwiec - wydatki -style 9" showFirstColumn="1" showLastColumn="1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Table_186" displayName="Table_186" ref="A2:E17" headerRowCount="0">
  <tableColumns count="5">
    <tableColumn id="1" xr3:uid="{00000000-0010-0000-B900-000001000000}" name="Column1"/>
    <tableColumn id="2" xr3:uid="{00000000-0010-0000-B900-000002000000}" name="Column2"/>
    <tableColumn id="3" xr3:uid="{00000000-0010-0000-B900-000003000000}" name="Column3"/>
    <tableColumn id="4" xr3:uid="{00000000-0010-0000-B900-000004000000}" name="Column4"/>
    <tableColumn id="5" xr3:uid="{00000000-0010-0000-B900-000005000000}" name="Column5"/>
  </tableColumns>
  <tableStyleInfo name="Maj - wydatki-style" showFirstColumn="1" showLastColumn="1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Table_187" displayName="Table_187" ref="G2:K17" headerRowCount="0">
  <tableColumns count="5">
    <tableColumn id="1" xr3:uid="{00000000-0010-0000-BA00-000001000000}" name="Column1"/>
    <tableColumn id="2" xr3:uid="{00000000-0010-0000-BA00-000002000000}" name="Column2"/>
    <tableColumn id="3" xr3:uid="{00000000-0010-0000-BA00-000003000000}" name="Column3"/>
    <tableColumn id="4" xr3:uid="{00000000-0010-0000-BA00-000004000000}" name="Column4"/>
    <tableColumn id="5" xr3:uid="{00000000-0010-0000-BA00-000005000000}" name="Column5"/>
  </tableColumns>
  <tableStyleInfo name="Maj - wydatki-style 2" showFirstColumn="1" showLastColumn="1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Table_188" displayName="Table_188" ref="M2:Q6" headerRowCount="0">
  <tableColumns count="5">
    <tableColumn id="1" xr3:uid="{00000000-0010-0000-BB00-000001000000}" name="Column1"/>
    <tableColumn id="2" xr3:uid="{00000000-0010-0000-BB00-000002000000}" name="Column2"/>
    <tableColumn id="3" xr3:uid="{00000000-0010-0000-BB00-000003000000}" name="Column3"/>
    <tableColumn id="4" xr3:uid="{00000000-0010-0000-BB00-000004000000}" name="Column4"/>
    <tableColumn id="5" xr3:uid="{00000000-0010-0000-BB00-000005000000}" name="Column5"/>
  </tableColumns>
  <tableStyleInfo name="Maj - wydatki-style 3" showFirstColumn="1" showLastColumn="1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Table_189" displayName="Table_189" ref="A20:E25" headerRowCount="0">
  <tableColumns count="5">
    <tableColumn id="1" xr3:uid="{00000000-0010-0000-BC00-000001000000}" name="Column1"/>
    <tableColumn id="2" xr3:uid="{00000000-0010-0000-BC00-000002000000}" name="Column2"/>
    <tableColumn id="3" xr3:uid="{00000000-0010-0000-BC00-000003000000}" name="Column3"/>
    <tableColumn id="4" xr3:uid="{00000000-0010-0000-BC00-000004000000}" name="Column4"/>
    <tableColumn id="5" xr3:uid="{00000000-0010-0000-BC00-000005000000}" name="Column5"/>
  </tableColumns>
  <tableStyleInfo name="Maj - wydatki-style 4" showFirstColumn="1" showLastColumn="1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Table_190" displayName="Table_190" ref="G20:K25" headerRowCount="0">
  <tableColumns count="5">
    <tableColumn id="1" xr3:uid="{00000000-0010-0000-BD00-000001000000}" name="Column1"/>
    <tableColumn id="2" xr3:uid="{00000000-0010-0000-BD00-000002000000}" name="Column2"/>
    <tableColumn id="3" xr3:uid="{00000000-0010-0000-BD00-000003000000}" name="Column3"/>
    <tableColumn id="4" xr3:uid="{00000000-0010-0000-BD00-000004000000}" name="Column4"/>
    <tableColumn id="5" xr3:uid="{00000000-0010-0000-BD00-000005000000}" name="Column5"/>
  </tableColumns>
  <tableStyleInfo name="Maj - wydatki-style 5" showFirstColumn="1" showLastColumn="1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Table_191" displayName="Table_191" ref="A29:E33" headerRowCount="0">
  <tableColumns count="5">
    <tableColumn id="1" xr3:uid="{00000000-0010-0000-BE00-000001000000}" name="Column1"/>
    <tableColumn id="2" xr3:uid="{00000000-0010-0000-BE00-000002000000}" name="Column2"/>
    <tableColumn id="3" xr3:uid="{00000000-0010-0000-BE00-000003000000}" name="Column3"/>
    <tableColumn id="4" xr3:uid="{00000000-0010-0000-BE00-000004000000}" name="Column4"/>
    <tableColumn id="5" xr3:uid="{00000000-0010-0000-BE00-000005000000}" name="Column5"/>
  </tableColumns>
  <tableStyleInfo name="Maj - wydatki-style 6" showFirstColumn="1" showLastColumn="1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Table_192" displayName="Table_192" ref="G29:K33" headerRowCount="0">
  <tableColumns count="5">
    <tableColumn id="1" xr3:uid="{00000000-0010-0000-BF00-000001000000}" name="Column1"/>
    <tableColumn id="2" xr3:uid="{00000000-0010-0000-BF00-000002000000}" name="Column2"/>
    <tableColumn id="3" xr3:uid="{00000000-0010-0000-BF00-000003000000}" name="Column3"/>
    <tableColumn id="4" xr3:uid="{00000000-0010-0000-BF00-000004000000}" name="Column4"/>
    <tableColumn id="5" xr3:uid="{00000000-0010-0000-BF00-000005000000}" name="Column5"/>
  </tableColumns>
  <tableStyleInfo name="Maj - wydatki-style 7" showFirstColumn="1" showLastColumn="1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Table_193" displayName="Table_193" ref="A36:E37" headerRowCount="0">
  <tableColumns count="5">
    <tableColumn id="1" xr3:uid="{00000000-0010-0000-C000-000001000000}" name="Column1"/>
    <tableColumn id="2" xr3:uid="{00000000-0010-0000-C000-000002000000}" name="Column2"/>
    <tableColumn id="3" xr3:uid="{00000000-0010-0000-C000-000003000000}" name="Column3"/>
    <tableColumn id="4" xr3:uid="{00000000-0010-0000-C000-000004000000}" name="Column4"/>
    <tableColumn id="5" xr3:uid="{00000000-0010-0000-C000-000005000000}" name="Column5"/>
  </tableColumns>
  <tableStyleInfo name="Maj - wydatki-style 8" showFirstColumn="1" showLastColumn="1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Table_194" displayName="Table_194" ref="G36:K37" headerRowCount="0">
  <tableColumns count="5">
    <tableColumn id="1" xr3:uid="{00000000-0010-0000-C100-000001000000}" name="Column1"/>
    <tableColumn id="2" xr3:uid="{00000000-0010-0000-C100-000002000000}" name="Column2"/>
    <tableColumn id="3" xr3:uid="{00000000-0010-0000-C100-000003000000}" name="Column3"/>
    <tableColumn id="4" xr3:uid="{00000000-0010-0000-C100-000004000000}" name="Column4"/>
    <tableColumn id="5" xr3:uid="{00000000-0010-0000-C100-000005000000}" name="Column5"/>
  </tableColumns>
  <tableStyleInfo name="Maj - wydatki-style 9" showFirstColumn="1" showLastColumn="1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Table_195" displayName="Table_195" ref="A2:J22" headerRowCount="0">
  <tableColumns count="10">
    <tableColumn id="1" xr3:uid="{00000000-0010-0000-C200-000001000000}" name="Column1"/>
    <tableColumn id="2" xr3:uid="{00000000-0010-0000-C200-000002000000}" name="Column2"/>
    <tableColumn id="3" xr3:uid="{00000000-0010-0000-C200-000003000000}" name="Column3"/>
    <tableColumn id="4" xr3:uid="{00000000-0010-0000-C200-000004000000}" name="Column4"/>
    <tableColumn id="5" xr3:uid="{00000000-0010-0000-C200-000005000000}" name="Column5"/>
    <tableColumn id="6" xr3:uid="{00000000-0010-0000-C200-000006000000}" name="Column6"/>
    <tableColumn id="7" xr3:uid="{00000000-0010-0000-C200-000007000000}" name="Column7"/>
    <tableColumn id="8" xr3:uid="{00000000-0010-0000-C200-000008000000}" name="Column8"/>
    <tableColumn id="9" xr3:uid="{00000000-0010-0000-C200-000009000000}" name="Column9"/>
    <tableColumn id="10" xr3:uid="{00000000-0010-0000-C200-00000A000000}" name="Column10"/>
  </tableColumns>
  <tableStyleInfo name="Kwiecień - wydatki-style" showFirstColumn="1" showLastColumn="1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Table_196" displayName="Table_196" ref="A23:G30" headerRowCount="0">
  <tableColumns count="7">
    <tableColumn id="1" xr3:uid="{00000000-0010-0000-C300-000001000000}" name="Column1"/>
    <tableColumn id="2" xr3:uid="{00000000-0010-0000-C300-000002000000}" name="Column2"/>
    <tableColumn id="3" xr3:uid="{00000000-0010-0000-C300-000003000000}" name="Column3"/>
    <tableColumn id="4" xr3:uid="{00000000-0010-0000-C300-000004000000}" name="Column4"/>
    <tableColumn id="5" xr3:uid="{00000000-0010-0000-C300-000005000000}" name="Column5"/>
    <tableColumn id="6" xr3:uid="{00000000-0010-0000-C300-000006000000}" name="Column6"/>
    <tableColumn id="7" xr3:uid="{00000000-0010-0000-C300-000007000000}" name="Column7"/>
  </tableColumns>
  <tableStyleInfo name="Kwiecień - wydatki-style 2" showFirstColumn="1" showLastColumn="1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Table_197" displayName="Table_197" ref="A32:E37">
  <tableColumns count="5">
    <tableColumn id="1" xr3:uid="{00000000-0010-0000-C400-000001000000}" name="Kolumna1"/>
    <tableColumn id="2" xr3:uid="{00000000-0010-0000-C400-000002000000}" name="Damian"/>
    <tableColumn id="3" xr3:uid="{00000000-0010-0000-C400-000003000000}" name="Cookidoo"/>
    <tableColumn id="4" xr3:uid="{00000000-0010-0000-C400-000004000000}" name="200"/>
    <tableColumn id="5" xr3:uid="{00000000-0010-0000-C400-000005000000}" name="201"/>
  </tableColumns>
  <tableStyleInfo name="Kwiecień - wydatki-style 3" showFirstColumn="1" showLastColumn="1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Table_198" displayName="Table_198" ref="A1:H11">
  <tableColumns count="8">
    <tableColumn id="1" xr3:uid="{00000000-0010-0000-C500-000001000000}" name="Kolumna1"/>
    <tableColumn id="2" xr3:uid="{00000000-0010-0000-C500-000002000000}" name="Kolumna2"/>
    <tableColumn id="3" xr3:uid="{00000000-0010-0000-C500-000003000000}" name="Kolumna3"/>
    <tableColumn id="4" xr3:uid="{00000000-0010-0000-C500-000004000000}" name="Kolumna4"/>
    <tableColumn id="5" xr3:uid="{00000000-0010-0000-C500-000005000000}" name="Kolumna5"/>
    <tableColumn id="6" xr3:uid="{00000000-0010-0000-C500-000006000000}" name="Kolumna6"/>
    <tableColumn id="7" xr3:uid="{00000000-0010-0000-C500-000007000000}" name="Kolumna7"/>
    <tableColumn id="8" xr3:uid="{00000000-0010-0000-C500-000008000000}" name="Kolumna8"/>
  </tableColumns>
  <tableStyleInfo name="Jedzenie-style" showFirstColumn="1" showLastColumn="1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Table_199" displayName="Table_199" ref="A16:H26">
  <tableColumns count="8">
    <tableColumn id="1" xr3:uid="{00000000-0010-0000-C600-000001000000}" name="Kolumna1"/>
    <tableColumn id="2" xr3:uid="{00000000-0010-0000-C600-000002000000}" name="Kolumna2"/>
    <tableColumn id="3" xr3:uid="{00000000-0010-0000-C600-000003000000}" name="Kolumna3"/>
    <tableColumn id="4" xr3:uid="{00000000-0010-0000-C600-000004000000}" name="Kolumna4"/>
    <tableColumn id="5" xr3:uid="{00000000-0010-0000-C600-000005000000}" name="Kolumna5"/>
    <tableColumn id="6" xr3:uid="{00000000-0010-0000-C600-000006000000}" name="Kolumna6"/>
    <tableColumn id="7" xr3:uid="{00000000-0010-0000-C600-000007000000}" name="Kolumna7"/>
    <tableColumn id="8" xr3:uid="{00000000-0010-0000-C600-000008000000}" name="Kolumna8"/>
  </tableColumns>
  <tableStyleInfo name="Jedzenie-style 2" showFirstColumn="1" showLastColumn="1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Table_200" displayName="Table_200" ref="A30:H39" headerRowCount="0">
  <tableColumns count="8">
    <tableColumn id="1" xr3:uid="{00000000-0010-0000-C700-000001000000}" name="Column1"/>
    <tableColumn id="2" xr3:uid="{00000000-0010-0000-C700-000002000000}" name="Column2"/>
    <tableColumn id="3" xr3:uid="{00000000-0010-0000-C700-000003000000}" name="Column3"/>
    <tableColumn id="4" xr3:uid="{00000000-0010-0000-C700-000004000000}" name="Column4"/>
    <tableColumn id="5" xr3:uid="{00000000-0010-0000-C700-000005000000}" name="Column5"/>
    <tableColumn id="6" xr3:uid="{00000000-0010-0000-C700-000006000000}" name="Column6"/>
    <tableColumn id="7" xr3:uid="{00000000-0010-0000-C700-000007000000}" name="Column7"/>
    <tableColumn id="8" xr3:uid="{00000000-0010-0000-C700-000008000000}" name="Column8"/>
  </tableColumns>
  <tableStyleInfo name="Jedzenie-style 3" showFirstColumn="1" showLastColumn="1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Table_201" displayName="Table_201" ref="A41:H50" headerRowCount="0">
  <tableColumns count="8">
    <tableColumn id="1" xr3:uid="{00000000-0010-0000-C800-000001000000}" name="Column1"/>
    <tableColumn id="2" xr3:uid="{00000000-0010-0000-C800-000002000000}" name="Column2"/>
    <tableColumn id="3" xr3:uid="{00000000-0010-0000-C800-000003000000}" name="Column3"/>
    <tableColumn id="4" xr3:uid="{00000000-0010-0000-C800-000004000000}" name="Column4"/>
    <tableColumn id="5" xr3:uid="{00000000-0010-0000-C800-000005000000}" name="Column5"/>
    <tableColumn id="6" xr3:uid="{00000000-0010-0000-C800-000006000000}" name="Column6"/>
    <tableColumn id="7" xr3:uid="{00000000-0010-0000-C800-000007000000}" name="Column7"/>
    <tableColumn id="8" xr3:uid="{00000000-0010-0000-C800-000008000000}" name="Column8"/>
  </tableColumns>
  <tableStyleInfo name="Jedzenie-style 4" showFirstColumn="1" showLastColumn="1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Table_202" displayName="Table_202" ref="A2:J23" headerRowCount="0">
  <tableColumns count="10">
    <tableColumn id="1" xr3:uid="{00000000-0010-0000-C900-000001000000}" name="Column1"/>
    <tableColumn id="2" xr3:uid="{00000000-0010-0000-C900-000002000000}" name="Column2"/>
    <tableColumn id="3" xr3:uid="{00000000-0010-0000-C900-000003000000}" name="Column3"/>
    <tableColumn id="4" xr3:uid="{00000000-0010-0000-C900-000004000000}" name="Column4"/>
    <tableColumn id="5" xr3:uid="{00000000-0010-0000-C900-000005000000}" name="Column5"/>
    <tableColumn id="6" xr3:uid="{00000000-0010-0000-C900-000006000000}" name="Column6"/>
    <tableColumn id="7" xr3:uid="{00000000-0010-0000-C900-000007000000}" name="Column7"/>
    <tableColumn id="8" xr3:uid="{00000000-0010-0000-C900-000008000000}" name="Column8"/>
    <tableColumn id="9" xr3:uid="{00000000-0010-0000-C900-000009000000}" name="Column9"/>
    <tableColumn id="10" xr3:uid="{00000000-0010-0000-C900-00000A000000}" name="Column10"/>
  </tableColumns>
  <tableStyleInfo name="Marzec - wydatk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Table_203" displayName="Table_203" ref="A24:G31" headerRowCount="0">
  <tableColumns count="7">
    <tableColumn id="1" xr3:uid="{00000000-0010-0000-CA00-000001000000}" name="Column1"/>
    <tableColumn id="2" xr3:uid="{00000000-0010-0000-CA00-000002000000}" name="Column2"/>
    <tableColumn id="3" xr3:uid="{00000000-0010-0000-CA00-000003000000}" name="Column3"/>
    <tableColumn id="4" xr3:uid="{00000000-0010-0000-CA00-000004000000}" name="Column4"/>
    <tableColumn id="5" xr3:uid="{00000000-0010-0000-CA00-000005000000}" name="Column5"/>
    <tableColumn id="6" xr3:uid="{00000000-0010-0000-CA00-000006000000}" name="Column6"/>
    <tableColumn id="7" xr3:uid="{00000000-0010-0000-CA00-000007000000}" name="Column7"/>
  </tableColumns>
  <tableStyleInfo name="Marzec - wydatki-style 2" showFirstColumn="1" showLastColumn="1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Table_204" displayName="Table_204" ref="A33:E38">
  <tableColumns count="5">
    <tableColumn id="1" xr3:uid="{00000000-0010-0000-CB00-000001000000}" name="Kolumna1"/>
    <tableColumn id="2" xr3:uid="{00000000-0010-0000-CB00-000002000000}" name="Damian"/>
    <tableColumn id="3" xr3:uid="{00000000-0010-0000-CB00-000003000000}" name="Cookidoo"/>
    <tableColumn id="4" xr3:uid="{00000000-0010-0000-CB00-000004000000}" name="200"/>
    <tableColumn id="5" xr3:uid="{00000000-0010-0000-CB00-000005000000}" name="201"/>
  </tableColumns>
  <tableStyleInfo name="Marzec - wydatki-style 3" showFirstColumn="1" showLastColumn="1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Table_205" displayName="Table_205" ref="A2:J23" headerRowCount="0">
  <tableColumns count="10">
    <tableColumn id="1" xr3:uid="{00000000-0010-0000-CC00-000001000000}" name="Column1"/>
    <tableColumn id="2" xr3:uid="{00000000-0010-0000-CC00-000002000000}" name="Column2"/>
    <tableColumn id="3" xr3:uid="{00000000-0010-0000-CC00-000003000000}" name="Column3"/>
    <tableColumn id="4" xr3:uid="{00000000-0010-0000-CC00-000004000000}" name="Column4"/>
    <tableColumn id="5" xr3:uid="{00000000-0010-0000-CC00-000005000000}" name="Column5"/>
    <tableColumn id="6" xr3:uid="{00000000-0010-0000-CC00-000006000000}" name="Column6"/>
    <tableColumn id="7" xr3:uid="{00000000-0010-0000-CC00-000007000000}" name="Column7"/>
    <tableColumn id="8" xr3:uid="{00000000-0010-0000-CC00-000008000000}" name="Column8"/>
    <tableColumn id="9" xr3:uid="{00000000-0010-0000-CC00-000009000000}" name="Column9"/>
    <tableColumn id="10" xr3:uid="{00000000-0010-0000-CC00-00000A000000}" name="Column10"/>
  </tableColumns>
  <tableStyleInfo name="Luty - wydatk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Table_206" displayName="Table_206" ref="A24:G32" headerRowCount="0">
  <tableColumns count="7">
    <tableColumn id="1" xr3:uid="{00000000-0010-0000-CD00-000001000000}" name="Column1"/>
    <tableColumn id="2" xr3:uid="{00000000-0010-0000-CD00-000002000000}" name="Column2"/>
    <tableColumn id="3" xr3:uid="{00000000-0010-0000-CD00-000003000000}" name="Column3"/>
    <tableColumn id="4" xr3:uid="{00000000-0010-0000-CD00-000004000000}" name="Column4"/>
    <tableColumn id="5" xr3:uid="{00000000-0010-0000-CD00-000005000000}" name="Column5"/>
    <tableColumn id="6" xr3:uid="{00000000-0010-0000-CD00-000006000000}" name="Column6"/>
    <tableColumn id="7" xr3:uid="{00000000-0010-0000-CD00-000007000000}" name="Column7"/>
  </tableColumns>
  <tableStyleInfo name="Luty - wydatki-style 2" showFirstColumn="1" showLastColumn="1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Table_207" displayName="Table_207" ref="A34:E39">
  <tableColumns count="5">
    <tableColumn id="1" xr3:uid="{00000000-0010-0000-CE00-000001000000}" name="Kolumna1"/>
    <tableColumn id="2" xr3:uid="{00000000-0010-0000-CE00-000002000000}" name="Damian"/>
    <tableColumn id="3" xr3:uid="{00000000-0010-0000-CE00-000003000000}" name="Cookidoo"/>
    <tableColumn id="4" xr3:uid="{00000000-0010-0000-CE00-000004000000}" name="200"/>
    <tableColumn id="5" xr3:uid="{00000000-0010-0000-CE00-000005000000}" name="201"/>
  </tableColumns>
  <tableStyleInfo name="Luty - wydatki-style 3" showFirstColumn="1" showLastColumn="1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Table_208" displayName="Table_208" ref="A2:J23" headerRowCount="0">
  <tableColumns count="10">
    <tableColumn id="1" xr3:uid="{00000000-0010-0000-CF00-000001000000}" name="Column1"/>
    <tableColumn id="2" xr3:uid="{00000000-0010-0000-CF00-000002000000}" name="Column2"/>
    <tableColumn id="3" xr3:uid="{00000000-0010-0000-CF00-000003000000}" name="Column3"/>
    <tableColumn id="4" xr3:uid="{00000000-0010-0000-CF00-000004000000}" name="Column4"/>
    <tableColumn id="5" xr3:uid="{00000000-0010-0000-CF00-000005000000}" name="Column5"/>
    <tableColumn id="6" xr3:uid="{00000000-0010-0000-CF00-000006000000}" name="Column6"/>
    <tableColumn id="7" xr3:uid="{00000000-0010-0000-CF00-000007000000}" name="Column7"/>
    <tableColumn id="8" xr3:uid="{00000000-0010-0000-CF00-000008000000}" name="Column8"/>
    <tableColumn id="9" xr3:uid="{00000000-0010-0000-CF00-000009000000}" name="Column9"/>
    <tableColumn id="10" xr3:uid="{00000000-0010-0000-CF00-00000A000000}" name="Column10"/>
  </tableColumns>
  <tableStyleInfo name="Styczeń - wydatk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Table_209" displayName="Table_209" ref="A24:G32" headerRowCount="0">
  <tableColumns count="7">
    <tableColumn id="1" xr3:uid="{00000000-0010-0000-D000-000001000000}" name="Column1"/>
    <tableColumn id="2" xr3:uid="{00000000-0010-0000-D000-000002000000}" name="Column2"/>
    <tableColumn id="3" xr3:uid="{00000000-0010-0000-D000-000003000000}" name="Column3"/>
    <tableColumn id="4" xr3:uid="{00000000-0010-0000-D000-000004000000}" name="Column4"/>
    <tableColumn id="5" xr3:uid="{00000000-0010-0000-D000-000005000000}" name="Column5"/>
    <tableColumn id="6" xr3:uid="{00000000-0010-0000-D000-000006000000}" name="Column6"/>
    <tableColumn id="7" xr3:uid="{00000000-0010-0000-D000-000007000000}" name="Column7"/>
  </tableColumns>
  <tableStyleInfo name="Styczeń - wydatki-style 2" showFirstColumn="1" showLastColumn="1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Table_210" displayName="Table_210" ref="A34:E39">
  <tableColumns count="5">
    <tableColumn id="1" xr3:uid="{00000000-0010-0000-D100-000001000000}" name="Kolumna1"/>
    <tableColumn id="2" xr3:uid="{00000000-0010-0000-D100-000002000000}" name="Damian"/>
    <tableColumn id="3" xr3:uid="{00000000-0010-0000-D100-000003000000}" name="Cookidoo"/>
    <tableColumn id="4" xr3:uid="{00000000-0010-0000-D100-000004000000}" name="200"/>
    <tableColumn id="5" xr3:uid="{00000000-0010-0000-D100-000005000000}" name="201"/>
  </tableColumns>
  <tableStyleInfo name="Styczeń - wydatki-style 3" showFirstColumn="1" showLastColumn="1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Table_211" displayName="Table_211" ref="A2:J24" headerRowCount="0">
  <tableColumns count="10">
    <tableColumn id="1" xr3:uid="{00000000-0010-0000-D200-000001000000}" name="Column1"/>
    <tableColumn id="2" xr3:uid="{00000000-0010-0000-D200-000002000000}" name="Column2"/>
    <tableColumn id="3" xr3:uid="{00000000-0010-0000-D200-000003000000}" name="Column3"/>
    <tableColumn id="4" xr3:uid="{00000000-0010-0000-D200-000004000000}" name="Column4"/>
    <tableColumn id="5" xr3:uid="{00000000-0010-0000-D200-000005000000}" name="Column5"/>
    <tableColumn id="6" xr3:uid="{00000000-0010-0000-D200-000006000000}" name="Column6"/>
    <tableColumn id="7" xr3:uid="{00000000-0010-0000-D200-000007000000}" name="Column7"/>
    <tableColumn id="8" xr3:uid="{00000000-0010-0000-D200-000008000000}" name="Column8"/>
    <tableColumn id="9" xr3:uid="{00000000-0010-0000-D200-000009000000}" name="Column9"/>
    <tableColumn id="10" xr3:uid="{00000000-0010-0000-D200-00000A000000}" name="Column10"/>
  </tableColumns>
  <tableStyleInfo name="Grudzień - wydatki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Table_212" displayName="Table_212" ref="A25:G34" headerRowCount="0">
  <tableColumns count="7">
    <tableColumn id="1" xr3:uid="{00000000-0010-0000-D300-000001000000}" name="Column1"/>
    <tableColumn id="2" xr3:uid="{00000000-0010-0000-D300-000002000000}" name="Column2"/>
    <tableColumn id="3" xr3:uid="{00000000-0010-0000-D300-000003000000}" name="Column3"/>
    <tableColumn id="4" xr3:uid="{00000000-0010-0000-D300-000004000000}" name="Column4"/>
    <tableColumn id="5" xr3:uid="{00000000-0010-0000-D300-000005000000}" name="Column5"/>
    <tableColumn id="6" xr3:uid="{00000000-0010-0000-D300-000006000000}" name="Column6"/>
    <tableColumn id="7" xr3:uid="{00000000-0010-0000-D300-000007000000}" name="Column7"/>
  </tableColumns>
  <tableStyleInfo name="Grudzień - wydatki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6" Type="http://schemas.openxmlformats.org/officeDocument/2006/relationships/table" Target="../tables/table13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4" Type="http://schemas.openxmlformats.org/officeDocument/2006/relationships/table" Target="../tables/table1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7" Type="http://schemas.openxmlformats.org/officeDocument/2006/relationships/table" Target="../tables/table28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Relationship Id="rId6" Type="http://schemas.openxmlformats.org/officeDocument/2006/relationships/table" Target="../tables/table27.xml"/><Relationship Id="rId5" Type="http://schemas.openxmlformats.org/officeDocument/2006/relationships/table" Target="../tables/table26.xml"/><Relationship Id="rId4" Type="http://schemas.openxmlformats.org/officeDocument/2006/relationships/table" Target="../tables/table2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7" Type="http://schemas.openxmlformats.org/officeDocument/2006/relationships/table" Target="../tables/table35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Relationship Id="rId6" Type="http://schemas.openxmlformats.org/officeDocument/2006/relationships/table" Target="../tables/table34.xml"/><Relationship Id="rId5" Type="http://schemas.openxmlformats.org/officeDocument/2006/relationships/table" Target="../tables/table33.xml"/><Relationship Id="rId4" Type="http://schemas.openxmlformats.org/officeDocument/2006/relationships/table" Target="../tables/table3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2.xml"/><Relationship Id="rId7" Type="http://schemas.openxmlformats.org/officeDocument/2006/relationships/table" Target="../tables/table56.xml"/><Relationship Id="rId2" Type="http://schemas.openxmlformats.org/officeDocument/2006/relationships/table" Target="../tables/table51.xml"/><Relationship Id="rId1" Type="http://schemas.openxmlformats.org/officeDocument/2006/relationships/table" Target="../tables/table50.xml"/><Relationship Id="rId6" Type="http://schemas.openxmlformats.org/officeDocument/2006/relationships/table" Target="../tables/table55.xml"/><Relationship Id="rId5" Type="http://schemas.openxmlformats.org/officeDocument/2006/relationships/table" Target="../tables/table54.xml"/><Relationship Id="rId4" Type="http://schemas.openxmlformats.org/officeDocument/2006/relationships/table" Target="../tables/table5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7" Type="http://schemas.openxmlformats.org/officeDocument/2006/relationships/table" Target="../tables/table63.xml"/><Relationship Id="rId2" Type="http://schemas.openxmlformats.org/officeDocument/2006/relationships/table" Target="../tables/table58.xml"/><Relationship Id="rId1" Type="http://schemas.openxmlformats.org/officeDocument/2006/relationships/table" Target="../tables/table57.xml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7" Type="http://schemas.openxmlformats.org/officeDocument/2006/relationships/table" Target="../tables/table70.xml"/><Relationship Id="rId2" Type="http://schemas.openxmlformats.org/officeDocument/2006/relationships/table" Target="../tables/table65.xml"/><Relationship Id="rId1" Type="http://schemas.openxmlformats.org/officeDocument/2006/relationships/table" Target="../tables/table64.xml"/><Relationship Id="rId6" Type="http://schemas.openxmlformats.org/officeDocument/2006/relationships/table" Target="../tables/table69.xml"/><Relationship Id="rId5" Type="http://schemas.openxmlformats.org/officeDocument/2006/relationships/table" Target="../tables/table68.xml"/><Relationship Id="rId4" Type="http://schemas.openxmlformats.org/officeDocument/2006/relationships/table" Target="../tables/table6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3.xml"/><Relationship Id="rId7" Type="http://schemas.openxmlformats.org/officeDocument/2006/relationships/table" Target="../tables/table77.xml"/><Relationship Id="rId2" Type="http://schemas.openxmlformats.org/officeDocument/2006/relationships/table" Target="../tables/table72.xml"/><Relationship Id="rId1" Type="http://schemas.openxmlformats.org/officeDocument/2006/relationships/table" Target="../tables/table71.xml"/><Relationship Id="rId6" Type="http://schemas.openxmlformats.org/officeDocument/2006/relationships/table" Target="../tables/table76.xml"/><Relationship Id="rId5" Type="http://schemas.openxmlformats.org/officeDocument/2006/relationships/table" Target="../tables/table75.xml"/><Relationship Id="rId4" Type="http://schemas.openxmlformats.org/officeDocument/2006/relationships/table" Target="../tables/table7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table" Target="../tables/table78.xml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table" Target="../tables/table85.xml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4.xml"/><Relationship Id="rId7" Type="http://schemas.openxmlformats.org/officeDocument/2006/relationships/table" Target="../tables/table98.xml"/><Relationship Id="rId2" Type="http://schemas.openxmlformats.org/officeDocument/2006/relationships/table" Target="../tables/table93.xml"/><Relationship Id="rId1" Type="http://schemas.openxmlformats.org/officeDocument/2006/relationships/table" Target="../tables/table92.xml"/><Relationship Id="rId6" Type="http://schemas.openxmlformats.org/officeDocument/2006/relationships/table" Target="../tables/table97.xml"/><Relationship Id="rId5" Type="http://schemas.openxmlformats.org/officeDocument/2006/relationships/table" Target="../tables/table96.xml"/><Relationship Id="rId4" Type="http://schemas.openxmlformats.org/officeDocument/2006/relationships/table" Target="../tables/table9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1.xml"/><Relationship Id="rId7" Type="http://schemas.openxmlformats.org/officeDocument/2006/relationships/table" Target="../tables/table105.xml"/><Relationship Id="rId2" Type="http://schemas.openxmlformats.org/officeDocument/2006/relationships/table" Target="../tables/table100.xml"/><Relationship Id="rId1" Type="http://schemas.openxmlformats.org/officeDocument/2006/relationships/table" Target="../tables/table99.xml"/><Relationship Id="rId6" Type="http://schemas.openxmlformats.org/officeDocument/2006/relationships/table" Target="../tables/table104.xml"/><Relationship Id="rId5" Type="http://schemas.openxmlformats.org/officeDocument/2006/relationships/table" Target="../tables/table103.xml"/><Relationship Id="rId4" Type="http://schemas.openxmlformats.org/officeDocument/2006/relationships/table" Target="../tables/table10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7" Type="http://schemas.openxmlformats.org/officeDocument/2006/relationships/table" Target="../tables/table112.xml"/><Relationship Id="rId2" Type="http://schemas.openxmlformats.org/officeDocument/2006/relationships/table" Target="../tables/table107.xml"/><Relationship Id="rId1" Type="http://schemas.openxmlformats.org/officeDocument/2006/relationships/table" Target="../tables/table106.xml"/><Relationship Id="rId6" Type="http://schemas.openxmlformats.org/officeDocument/2006/relationships/table" Target="../tables/table111.xml"/><Relationship Id="rId5" Type="http://schemas.openxmlformats.org/officeDocument/2006/relationships/table" Target="../tables/table110.xml"/><Relationship Id="rId4" Type="http://schemas.openxmlformats.org/officeDocument/2006/relationships/table" Target="../tables/table109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5.xml"/><Relationship Id="rId7" Type="http://schemas.openxmlformats.org/officeDocument/2006/relationships/table" Target="../tables/table119.xml"/><Relationship Id="rId2" Type="http://schemas.openxmlformats.org/officeDocument/2006/relationships/table" Target="../tables/table114.xml"/><Relationship Id="rId1" Type="http://schemas.openxmlformats.org/officeDocument/2006/relationships/table" Target="../tables/table113.xml"/><Relationship Id="rId6" Type="http://schemas.openxmlformats.org/officeDocument/2006/relationships/table" Target="../tables/table118.xml"/><Relationship Id="rId5" Type="http://schemas.openxmlformats.org/officeDocument/2006/relationships/table" Target="../tables/table117.xml"/><Relationship Id="rId4" Type="http://schemas.openxmlformats.org/officeDocument/2006/relationships/table" Target="../tables/table1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table" Target="../tables/table120.xml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table" Target="../tables/table127.xml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1.xml"/><Relationship Id="rId3" Type="http://schemas.openxmlformats.org/officeDocument/2006/relationships/table" Target="../tables/table136.xml"/><Relationship Id="rId7" Type="http://schemas.openxmlformats.org/officeDocument/2006/relationships/table" Target="../tables/table140.xml"/><Relationship Id="rId2" Type="http://schemas.openxmlformats.org/officeDocument/2006/relationships/table" Target="../tables/table135.xml"/><Relationship Id="rId1" Type="http://schemas.openxmlformats.org/officeDocument/2006/relationships/table" Target="../tables/table134.xml"/><Relationship Id="rId6" Type="http://schemas.openxmlformats.org/officeDocument/2006/relationships/table" Target="../tables/table139.xml"/><Relationship Id="rId5" Type="http://schemas.openxmlformats.org/officeDocument/2006/relationships/table" Target="../tables/table138.xml"/><Relationship Id="rId10" Type="http://schemas.openxmlformats.org/officeDocument/2006/relationships/table" Target="../tables/table143.xml"/><Relationship Id="rId4" Type="http://schemas.openxmlformats.org/officeDocument/2006/relationships/table" Target="../tables/table137.xml"/><Relationship Id="rId9" Type="http://schemas.openxmlformats.org/officeDocument/2006/relationships/table" Target="../tables/table142.x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1.xml"/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table" Target="../tables/table144.xml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10" Type="http://schemas.openxmlformats.org/officeDocument/2006/relationships/table" Target="../tables/table153.xml"/><Relationship Id="rId4" Type="http://schemas.openxmlformats.org/officeDocument/2006/relationships/table" Target="../tables/table147.xml"/><Relationship Id="rId9" Type="http://schemas.openxmlformats.org/officeDocument/2006/relationships/table" Target="../tables/table152.xm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1.xml"/><Relationship Id="rId3" Type="http://schemas.openxmlformats.org/officeDocument/2006/relationships/table" Target="../tables/table156.xml"/><Relationship Id="rId7" Type="http://schemas.openxmlformats.org/officeDocument/2006/relationships/table" Target="../tables/table160.xml"/><Relationship Id="rId2" Type="http://schemas.openxmlformats.org/officeDocument/2006/relationships/table" Target="../tables/table155.xml"/><Relationship Id="rId1" Type="http://schemas.openxmlformats.org/officeDocument/2006/relationships/table" Target="../tables/table154.xml"/><Relationship Id="rId6" Type="http://schemas.openxmlformats.org/officeDocument/2006/relationships/table" Target="../tables/table159.xml"/><Relationship Id="rId5" Type="http://schemas.openxmlformats.org/officeDocument/2006/relationships/table" Target="../tables/table158.xml"/><Relationship Id="rId10" Type="http://schemas.openxmlformats.org/officeDocument/2006/relationships/table" Target="../tables/table163.xml"/><Relationship Id="rId4" Type="http://schemas.openxmlformats.org/officeDocument/2006/relationships/table" Target="../tables/table157.xml"/><Relationship Id="rId9" Type="http://schemas.openxmlformats.org/officeDocument/2006/relationships/table" Target="../tables/table162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1.xml"/><Relationship Id="rId3" Type="http://schemas.openxmlformats.org/officeDocument/2006/relationships/table" Target="../tables/table166.xml"/><Relationship Id="rId7" Type="http://schemas.openxmlformats.org/officeDocument/2006/relationships/table" Target="../tables/table170.xml"/><Relationship Id="rId2" Type="http://schemas.openxmlformats.org/officeDocument/2006/relationships/table" Target="../tables/table165.xml"/><Relationship Id="rId1" Type="http://schemas.openxmlformats.org/officeDocument/2006/relationships/table" Target="../tables/table164.xml"/><Relationship Id="rId6" Type="http://schemas.openxmlformats.org/officeDocument/2006/relationships/table" Target="../tables/table169.xml"/><Relationship Id="rId5" Type="http://schemas.openxmlformats.org/officeDocument/2006/relationships/table" Target="../tables/table168.xml"/><Relationship Id="rId10" Type="http://schemas.openxmlformats.org/officeDocument/2006/relationships/table" Target="../tables/table173.xml"/><Relationship Id="rId4" Type="http://schemas.openxmlformats.org/officeDocument/2006/relationships/table" Target="../tables/table167.xml"/><Relationship Id="rId9" Type="http://schemas.openxmlformats.org/officeDocument/2006/relationships/table" Target="../tables/table172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81.xml"/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table" Target="../tables/table174.xml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10" Type="http://schemas.openxmlformats.org/officeDocument/2006/relationships/table" Target="../tables/table183.xml"/><Relationship Id="rId4" Type="http://schemas.openxmlformats.org/officeDocument/2006/relationships/table" Target="../tables/table177.xml"/><Relationship Id="rId9" Type="http://schemas.openxmlformats.org/officeDocument/2006/relationships/table" Target="../tables/table182.xm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1.xml"/><Relationship Id="rId3" Type="http://schemas.openxmlformats.org/officeDocument/2006/relationships/table" Target="../tables/table186.xml"/><Relationship Id="rId7" Type="http://schemas.openxmlformats.org/officeDocument/2006/relationships/table" Target="../tables/table190.xml"/><Relationship Id="rId2" Type="http://schemas.openxmlformats.org/officeDocument/2006/relationships/table" Target="../tables/table185.xml"/><Relationship Id="rId1" Type="http://schemas.openxmlformats.org/officeDocument/2006/relationships/table" Target="../tables/table184.xml"/><Relationship Id="rId6" Type="http://schemas.openxmlformats.org/officeDocument/2006/relationships/table" Target="../tables/table189.xml"/><Relationship Id="rId5" Type="http://schemas.openxmlformats.org/officeDocument/2006/relationships/table" Target="../tables/table188.xml"/><Relationship Id="rId4" Type="http://schemas.openxmlformats.org/officeDocument/2006/relationships/table" Target="../tables/table187.xml"/><Relationship Id="rId9" Type="http://schemas.openxmlformats.org/officeDocument/2006/relationships/table" Target="../tables/table192.xm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00.xml"/><Relationship Id="rId3" Type="http://schemas.openxmlformats.org/officeDocument/2006/relationships/table" Target="../tables/table195.xml"/><Relationship Id="rId7" Type="http://schemas.openxmlformats.org/officeDocument/2006/relationships/table" Target="../tables/table199.xml"/><Relationship Id="rId2" Type="http://schemas.openxmlformats.org/officeDocument/2006/relationships/table" Target="../tables/table194.xml"/><Relationship Id="rId1" Type="http://schemas.openxmlformats.org/officeDocument/2006/relationships/table" Target="../tables/table193.xml"/><Relationship Id="rId6" Type="http://schemas.openxmlformats.org/officeDocument/2006/relationships/table" Target="../tables/table198.xml"/><Relationship Id="rId5" Type="http://schemas.openxmlformats.org/officeDocument/2006/relationships/table" Target="../tables/table197.xml"/><Relationship Id="rId4" Type="http://schemas.openxmlformats.org/officeDocument/2006/relationships/table" Target="../tables/table196.xml"/><Relationship Id="rId9" Type="http://schemas.openxmlformats.org/officeDocument/2006/relationships/table" Target="../tables/table20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4.xml"/><Relationship Id="rId2" Type="http://schemas.openxmlformats.org/officeDocument/2006/relationships/table" Target="../tables/table203.xml"/><Relationship Id="rId1" Type="http://schemas.openxmlformats.org/officeDocument/2006/relationships/table" Target="../tables/table202.xm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westiasmaku.com/zielony_srodek/buraczki/kanapka_z_buraczkiem/przepis.html" TargetMode="External"/><Relationship Id="rId13" Type="http://schemas.openxmlformats.org/officeDocument/2006/relationships/table" Target="../tables/table207.xml"/><Relationship Id="rId3" Type="http://schemas.openxmlformats.org/officeDocument/2006/relationships/hyperlink" Target="https://www.kwestiasmaku.com/dania_dla_dwojga/sniadania/jaglanka_z_mlekiem_kokosowym_zurawina/przepis.html" TargetMode="External"/><Relationship Id="rId7" Type="http://schemas.openxmlformats.org/officeDocument/2006/relationships/hyperlink" Target="https://www.kwestiasmaku.com/przepis/wrapy-z-tortilli-z-hummusem-i-warzywami" TargetMode="External"/><Relationship Id="rId12" Type="http://schemas.openxmlformats.org/officeDocument/2006/relationships/table" Target="../tables/table206.xml"/><Relationship Id="rId2" Type="http://schemas.openxmlformats.org/officeDocument/2006/relationships/hyperlink" Target="https://www.kwestiasmaku.com/przepis/makaron-z-kurczakiem-i-szpinakiem-w-sosie-curry" TargetMode="External"/><Relationship Id="rId1" Type="http://schemas.openxmlformats.org/officeDocument/2006/relationships/hyperlink" Target="https://pysznieczyprzepysznie.pl/ciabatta-z-wloska-mozzarella-di-bufala-campana-dop-szynka-prosciutto-di-parma-dop-i-pieczonymi-pomidorkami/" TargetMode="External"/><Relationship Id="rId6" Type="http://schemas.openxmlformats.org/officeDocument/2006/relationships/hyperlink" Target="https://www.kwestiasmaku.com/dania_dla_dwojga/sniadania/jaglanka_z_mlekiem_kokosowym_zurawina/przepis.html" TargetMode="External"/><Relationship Id="rId11" Type="http://schemas.openxmlformats.org/officeDocument/2006/relationships/table" Target="../tables/table205.xml"/><Relationship Id="rId5" Type="http://schemas.openxmlformats.org/officeDocument/2006/relationships/hyperlink" Target="https://www.fitczarodziejka.pl/przepis/orkiszowe-nalesniki-czekoladowe-z-ricotta-i-goracymi-malinami" TargetMode="External"/><Relationship Id="rId10" Type="http://schemas.openxmlformats.org/officeDocument/2006/relationships/hyperlink" Target="https://alaantkoweblw.pl/blog/przepis/puszyste-placki-z-kaszy-manny-alaantkoweblw/" TargetMode="External"/><Relationship Id="rId4" Type="http://schemas.openxmlformats.org/officeDocument/2006/relationships/hyperlink" Target="https://centrumrespo.pl/przepisy/kanapka-hummusem-warzywami/" TargetMode="External"/><Relationship Id="rId9" Type="http://schemas.openxmlformats.org/officeDocument/2006/relationships/hyperlink" Target="https://www.kwestiasmaku.com/przepis/ryba-z-pieca-z-brokulami" TargetMode="External"/><Relationship Id="rId14" Type="http://schemas.openxmlformats.org/officeDocument/2006/relationships/table" Target="../tables/table208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1.xml"/><Relationship Id="rId2" Type="http://schemas.openxmlformats.org/officeDocument/2006/relationships/table" Target="../tables/table210.xml"/><Relationship Id="rId1" Type="http://schemas.openxmlformats.org/officeDocument/2006/relationships/table" Target="../tables/table209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4.xml"/><Relationship Id="rId2" Type="http://schemas.openxmlformats.org/officeDocument/2006/relationships/table" Target="../tables/table213.xml"/><Relationship Id="rId1" Type="http://schemas.openxmlformats.org/officeDocument/2006/relationships/table" Target="../tables/table21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7.xml"/><Relationship Id="rId2" Type="http://schemas.openxmlformats.org/officeDocument/2006/relationships/table" Target="../tables/table216.xml"/><Relationship Id="rId1" Type="http://schemas.openxmlformats.org/officeDocument/2006/relationships/table" Target="../tables/table215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9.xml"/><Relationship Id="rId1" Type="http://schemas.openxmlformats.org/officeDocument/2006/relationships/table" Target="../tables/table2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1D91-62A5-4134-B617-C43443A77EC5}">
  <dimension ref="A1:U1000"/>
  <sheetViews>
    <sheetView tabSelected="1" workbookViewId="0">
      <selection activeCell="F5" sqref="F5"/>
    </sheetView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thickBot="1" x14ac:dyDescent="0.3">
      <c r="A1" s="1" t="s">
        <v>0</v>
      </c>
    </row>
    <row r="2" spans="1:20" ht="15.75" thickBot="1" x14ac:dyDescent="0.3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ht="15.75" thickBot="1" x14ac:dyDescent="0.3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4"/>
      <c r="I3" s="2" t="s">
        <v>10</v>
      </c>
      <c r="J3" s="2" t="s">
        <v>11</v>
      </c>
      <c r="K3" s="2" t="s">
        <v>12</v>
      </c>
      <c r="L3" s="5" t="s">
        <v>13</v>
      </c>
      <c r="N3" s="2" t="s">
        <v>14</v>
      </c>
      <c r="O3" s="6">
        <v>7260</v>
      </c>
      <c r="P3" s="2">
        <f t="shared" ref="P3:P5" si="0">Q3+R3+S3</f>
        <v>6093</v>
      </c>
      <c r="Q3" s="2">
        <f>D14</f>
        <v>3675</v>
      </c>
      <c r="R3" s="2">
        <f>D21</f>
        <v>775</v>
      </c>
      <c r="S3" s="2">
        <f>D35</f>
        <v>1643</v>
      </c>
      <c r="T3" s="7">
        <f t="shared" ref="T3:T4" si="1">O3-P3</f>
        <v>1167</v>
      </c>
    </row>
    <row r="4" spans="1:20" ht="15.75" thickBot="1" x14ac:dyDescent="0.3">
      <c r="B4" s="8">
        <v>2</v>
      </c>
      <c r="C4" s="9" t="s">
        <v>15</v>
      </c>
      <c r="D4" s="9">
        <v>85</v>
      </c>
      <c r="E4" s="10">
        <f>'Maj26 - wydatki'!$D4-'Maj26 - wydatki'!$F4</f>
        <v>0</v>
      </c>
      <c r="F4" s="5">
        <v>85</v>
      </c>
      <c r="G4" s="2"/>
      <c r="H4" s="8">
        <v>1</v>
      </c>
      <c r="I4" s="9" t="s">
        <v>16</v>
      </c>
      <c r="J4" s="9">
        <v>3400</v>
      </c>
      <c r="K4" s="2"/>
      <c r="L4" s="5"/>
      <c r="N4" s="2" t="s">
        <v>17</v>
      </c>
      <c r="O4" s="11">
        <f>5834+2300</f>
        <v>8134</v>
      </c>
      <c r="P4" s="2">
        <f t="shared" si="0"/>
        <v>9301</v>
      </c>
      <c r="Q4" s="2">
        <f>J17</f>
        <v>6065</v>
      </c>
      <c r="R4" s="2">
        <f>J29</f>
        <v>2583</v>
      </c>
      <c r="S4" s="2">
        <f>J41</f>
        <v>653</v>
      </c>
      <c r="T4" s="7">
        <f t="shared" si="1"/>
        <v>-1167</v>
      </c>
    </row>
    <row r="5" spans="1:20" x14ac:dyDescent="0.25">
      <c r="B5" s="8">
        <v>4</v>
      </c>
      <c r="C5" s="9" t="s">
        <v>18</v>
      </c>
      <c r="D5" s="9">
        <v>40</v>
      </c>
      <c r="E5" s="10">
        <f>'Maj26 - wydatki'!$D5-'Maj26 - wydatki'!$F5</f>
        <v>40</v>
      </c>
      <c r="F5" s="5"/>
      <c r="G5" s="2"/>
      <c r="H5" s="8">
        <v>3</v>
      </c>
      <c r="I5" s="9" t="s">
        <v>19</v>
      </c>
      <c r="J5" s="9">
        <v>160</v>
      </c>
      <c r="K5" s="2"/>
      <c r="L5" s="5"/>
      <c r="N5" s="2" t="s">
        <v>5</v>
      </c>
      <c r="O5" s="2" t="b">
        <f>K43=O3+O4</f>
        <v>1</v>
      </c>
      <c r="P5" s="2">
        <f t="shared" si="0"/>
        <v>15394</v>
      </c>
      <c r="Q5" s="2">
        <f t="shared" ref="Q5:S5" si="2">Q3+Q4</f>
        <v>9740</v>
      </c>
      <c r="R5" s="2">
        <f t="shared" si="2"/>
        <v>3358</v>
      </c>
      <c r="S5" s="2">
        <f t="shared" si="2"/>
        <v>2296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'Maj26 - wydatki'!$D6-'Maj26 - wydatki'!$F6</f>
        <v>619</v>
      </c>
      <c r="F6" s="5">
        <f>181</f>
        <v>181</v>
      </c>
      <c r="G6" s="2"/>
      <c r="H6" s="8">
        <v>9</v>
      </c>
      <c r="I6" s="9" t="s">
        <v>21</v>
      </c>
      <c r="J6" s="9">
        <v>800</v>
      </c>
      <c r="K6" s="2"/>
      <c r="L6" s="5"/>
    </row>
    <row r="7" spans="1:20" x14ac:dyDescent="0.25">
      <c r="B7" s="8">
        <v>8</v>
      </c>
      <c r="C7" s="9" t="s">
        <v>21</v>
      </c>
      <c r="D7" s="9">
        <v>800</v>
      </c>
      <c r="E7" s="10">
        <f>'Maj26 - wydatki'!$D7-'Maj26 - wydatki'!$F7</f>
        <v>481.79</v>
      </c>
      <c r="F7" s="5">
        <f>124+65.56+83.26+27+8+10.39</f>
        <v>318.20999999999998</v>
      </c>
      <c r="G7" s="2"/>
      <c r="H7" s="8">
        <v>11</v>
      </c>
      <c r="I7" s="9" t="s">
        <v>22</v>
      </c>
      <c r="J7" s="9">
        <v>140</v>
      </c>
      <c r="K7" s="2"/>
      <c r="L7" s="5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'Maj26 - wydatki'!$D8-F8</f>
        <v>98</v>
      </c>
      <c r="F8" s="5">
        <v>202</v>
      </c>
      <c r="G8" s="2"/>
      <c r="H8" s="8">
        <v>12</v>
      </c>
      <c r="I8" s="9" t="s">
        <v>25</v>
      </c>
      <c r="J8" s="9">
        <v>65</v>
      </c>
      <c r="K8" s="2"/>
      <c r="L8" s="5"/>
      <c r="N8" s="1" t="s">
        <v>26</v>
      </c>
      <c r="O8" s="1" t="s">
        <v>27</v>
      </c>
      <c r="P8" s="1">
        <f>4230+261+318-1650+300-223+300-250+250+228+453+350-332-350+358-120+500-200+400-60-2400+400+2400+153-800</f>
        <v>4516</v>
      </c>
      <c r="Q8" s="1" t="s">
        <v>28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'Maj26 - wydatki'!$D9-'Maj26 - wydatki'!$F9</f>
        <v>100</v>
      </c>
      <c r="F9" s="5"/>
      <c r="G9" s="2"/>
      <c r="H9" s="8">
        <v>13</v>
      </c>
      <c r="I9" s="9" t="s">
        <v>30</v>
      </c>
      <c r="J9" s="9">
        <v>300</v>
      </c>
      <c r="K9" s="2"/>
      <c r="L9" s="5"/>
      <c r="O9" s="1" t="s">
        <v>31</v>
      </c>
      <c r="P9" s="1">
        <v>5500</v>
      </c>
      <c r="Q9" s="1" t="s">
        <v>32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'Maj26 - wydatki'!$D10-'Maj26 - wydatki'!$F10</f>
        <v>0</v>
      </c>
      <c r="F10" s="5">
        <v>500</v>
      </c>
      <c r="G10" s="2"/>
      <c r="H10" s="8">
        <v>17</v>
      </c>
      <c r="I10" s="9" t="s">
        <v>34</v>
      </c>
      <c r="J10" s="9">
        <v>50</v>
      </c>
      <c r="K10" s="2"/>
      <c r="L10" s="5"/>
      <c r="O10" s="1" t="s">
        <v>35</v>
      </c>
      <c r="P10" s="1">
        <v>31</v>
      </c>
      <c r="Q10" s="1" t="s">
        <v>32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'Maj26 - wydatki'!$D11-'Maj26 - wydatki'!$F11</f>
        <v>0</v>
      </c>
      <c r="F11" s="5">
        <v>50</v>
      </c>
      <c r="G11" s="2"/>
      <c r="H11" s="8">
        <v>18</v>
      </c>
      <c r="I11" s="9" t="s">
        <v>37</v>
      </c>
      <c r="J11" s="9">
        <v>100</v>
      </c>
      <c r="K11" s="2"/>
      <c r="L11" s="5"/>
      <c r="P11" s="1">
        <f>P8+P9+P10</f>
        <v>10047</v>
      </c>
    </row>
    <row r="12" spans="1:20" x14ac:dyDescent="0.25">
      <c r="B12" s="8">
        <v>26</v>
      </c>
      <c r="C12" s="9" t="s">
        <v>38</v>
      </c>
      <c r="D12" s="9">
        <v>500</v>
      </c>
      <c r="E12" s="10">
        <f>'Maj26 - wydatki'!$D12-'Maj26 - wydatki'!$F12</f>
        <v>500</v>
      </c>
      <c r="F12" s="5"/>
      <c r="G12" s="2"/>
      <c r="H12" s="8">
        <v>20</v>
      </c>
      <c r="I12" s="9" t="s">
        <v>39</v>
      </c>
      <c r="J12" s="9">
        <v>100</v>
      </c>
      <c r="K12" s="2"/>
      <c r="L12" s="5"/>
      <c r="O12" s="1" t="s">
        <v>33</v>
      </c>
      <c r="P12" s="1">
        <v>60</v>
      </c>
      <c r="Q12" s="1" t="s">
        <v>32</v>
      </c>
    </row>
    <row r="13" spans="1:20" ht="15.75" thickBot="1" x14ac:dyDescent="0.3">
      <c r="B13" s="8">
        <v>27</v>
      </c>
      <c r="C13" s="9" t="s">
        <v>40</v>
      </c>
      <c r="D13" s="9">
        <v>500</v>
      </c>
      <c r="E13" s="10">
        <f>D13-F13</f>
        <v>0</v>
      </c>
      <c r="F13" s="5">
        <v>500</v>
      </c>
      <c r="G13" s="2"/>
      <c r="H13" s="8">
        <v>22</v>
      </c>
      <c r="I13" s="9" t="s">
        <v>36</v>
      </c>
      <c r="J13" s="9">
        <v>50</v>
      </c>
      <c r="K13" s="2"/>
      <c r="L13" s="5"/>
    </row>
    <row r="14" spans="1:20" ht="15.75" thickBot="1" x14ac:dyDescent="0.3">
      <c r="B14" s="13"/>
      <c r="C14" s="14" t="s">
        <v>41</v>
      </c>
      <c r="D14" s="14">
        <f t="shared" ref="D14:E14" si="3">SUM(D4:D13)</f>
        <v>3675</v>
      </c>
      <c r="E14" s="15">
        <f t="shared" si="3"/>
        <v>1838.79</v>
      </c>
      <c r="F14" s="16"/>
      <c r="G14" s="2"/>
      <c r="H14" s="8">
        <v>23</v>
      </c>
      <c r="I14" s="9" t="s">
        <v>42</v>
      </c>
      <c r="J14" s="9">
        <v>350</v>
      </c>
      <c r="K14" s="2"/>
      <c r="L14" s="5"/>
      <c r="N14" s="1" t="s">
        <v>43</v>
      </c>
      <c r="P14" s="1">
        <v>3000</v>
      </c>
      <c r="Q14" s="1" t="s">
        <v>160</v>
      </c>
    </row>
    <row r="15" spans="1:20" ht="15.75" thickBot="1" x14ac:dyDescent="0.3">
      <c r="G15" s="2"/>
      <c r="H15" s="8">
        <v>25</v>
      </c>
      <c r="I15" s="9" t="s">
        <v>44</v>
      </c>
      <c r="J15" s="9">
        <v>50</v>
      </c>
      <c r="K15" s="2"/>
      <c r="L15" s="5"/>
    </row>
    <row r="16" spans="1:20" ht="15.75" thickBot="1" x14ac:dyDescent="0.3">
      <c r="B16" s="98" t="s">
        <v>45</v>
      </c>
      <c r="C16" s="96"/>
      <c r="D16" s="96"/>
      <c r="E16" s="96"/>
      <c r="F16" s="97"/>
      <c r="G16" s="2"/>
      <c r="H16" s="8">
        <v>28</v>
      </c>
      <c r="I16" s="9" t="s">
        <v>46</v>
      </c>
      <c r="J16" s="9">
        <v>500</v>
      </c>
      <c r="K16" s="2"/>
      <c r="L16" s="5"/>
    </row>
    <row r="17" spans="2:21" ht="15.75" thickBot="1" x14ac:dyDescent="0.3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6065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ht="15.75" thickBot="1" x14ac:dyDescent="0.3">
      <c r="B18" s="17"/>
      <c r="C18" s="1" t="s">
        <v>47</v>
      </c>
      <c r="D18" s="9">
        <v>500</v>
      </c>
      <c r="E18" s="18">
        <f>'Maj26 - wydatki'!$D18-F18</f>
        <v>0</v>
      </c>
      <c r="F18" s="5">
        <v>500</v>
      </c>
    </row>
    <row r="19" spans="2:21" x14ac:dyDescent="0.25">
      <c r="B19" s="19"/>
      <c r="C19" s="9" t="s">
        <v>48</v>
      </c>
      <c r="D19" s="9">
        <v>275</v>
      </c>
      <c r="E19" s="18">
        <f>'Maj26 - wydatki'!$D19-F19</f>
        <v>275</v>
      </c>
      <c r="F19" s="5"/>
      <c r="H19" s="95" t="s">
        <v>49</v>
      </c>
      <c r="I19" s="96"/>
      <c r="J19" s="96"/>
      <c r="K19" s="96"/>
      <c r="L19" s="97"/>
    </row>
    <row r="20" spans="2:21" ht="15.75" thickBot="1" x14ac:dyDescent="0.3">
      <c r="B20" s="19"/>
      <c r="C20" s="9" t="s">
        <v>50</v>
      </c>
      <c r="D20" s="9"/>
      <c r="E20" s="18">
        <f>'Maj26 - wydatki'!$D20-F20</f>
        <v>0</v>
      </c>
      <c r="F20" s="5"/>
      <c r="H20" s="4"/>
      <c r="I20" s="2" t="s">
        <v>10</v>
      </c>
      <c r="J20" s="2" t="s">
        <v>11</v>
      </c>
      <c r="K20" s="2" t="s">
        <v>12</v>
      </c>
      <c r="L20" s="5" t="s">
        <v>13</v>
      </c>
    </row>
    <row r="21" spans="2:21" ht="15.75" customHeight="1" thickBot="1" x14ac:dyDescent="0.3">
      <c r="B21" s="13"/>
      <c r="C21" s="14" t="s">
        <v>41</v>
      </c>
      <c r="D21" s="14">
        <f t="shared" ref="D21:F21" si="5">SUM(D18:D20)</f>
        <v>775</v>
      </c>
      <c r="E21" s="20">
        <f t="shared" si="5"/>
        <v>275</v>
      </c>
      <c r="F21" s="16">
        <f t="shared" si="5"/>
        <v>500</v>
      </c>
      <c r="H21" s="8">
        <v>6</v>
      </c>
      <c r="I21" s="2" t="s">
        <v>51</v>
      </c>
      <c r="J21" s="9">
        <v>1145</v>
      </c>
      <c r="K21" s="2"/>
      <c r="L21" s="5"/>
      <c r="P21" s="1"/>
      <c r="Q21" s="1"/>
      <c r="R21" s="1"/>
      <c r="S21" s="1"/>
    </row>
    <row r="22" spans="2:21" ht="15.75" customHeight="1" thickBot="1" x14ac:dyDescent="0.3">
      <c r="H22" s="8">
        <v>15</v>
      </c>
      <c r="I22" s="2" t="s">
        <v>52</v>
      </c>
      <c r="J22" s="9">
        <v>200</v>
      </c>
      <c r="K22" s="2"/>
      <c r="L22" s="5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8">
        <v>16</v>
      </c>
      <c r="I23" s="2" t="s">
        <v>54</v>
      </c>
      <c r="J23" s="9">
        <v>100</v>
      </c>
      <c r="K23" s="2"/>
      <c r="L23" s="5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19"/>
      <c r="I24" s="2" t="s">
        <v>55</v>
      </c>
      <c r="J24" s="9">
        <v>100</v>
      </c>
      <c r="K24" s="2"/>
      <c r="L24" s="5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50</v>
      </c>
      <c r="F25" s="5"/>
      <c r="H25" s="19"/>
      <c r="I25" s="2" t="s">
        <v>57</v>
      </c>
      <c r="J25" s="9">
        <v>50</v>
      </c>
      <c r="K25" s="2"/>
      <c r="L25" s="5"/>
    </row>
    <row r="26" spans="2:21" ht="15.75" customHeight="1" x14ac:dyDescent="0.25">
      <c r="B26" s="19"/>
      <c r="C26" s="9" t="s">
        <v>375</v>
      </c>
      <c r="D26" s="9">
        <v>1500</v>
      </c>
      <c r="E26" s="21">
        <f t="shared" si="6"/>
        <v>1500</v>
      </c>
      <c r="F26" s="5"/>
      <c r="H26" s="8">
        <v>21</v>
      </c>
      <c r="I26" s="2" t="s">
        <v>59</v>
      </c>
      <c r="J26" s="9">
        <v>400</v>
      </c>
      <c r="K26" s="2"/>
      <c r="L26" s="5"/>
      <c r="S26" s="1"/>
      <c r="T26" s="1"/>
    </row>
    <row r="27" spans="2:21" ht="15.75" customHeight="1" x14ac:dyDescent="0.25">
      <c r="B27" s="19"/>
      <c r="C27" s="9" t="s">
        <v>60</v>
      </c>
      <c r="D27" s="9"/>
      <c r="E27" s="21">
        <f t="shared" si="6"/>
        <v>0</v>
      </c>
      <c r="F27" s="5"/>
      <c r="H27" s="8">
        <v>25</v>
      </c>
      <c r="I27" s="2" t="s">
        <v>61</v>
      </c>
      <c r="J27" s="9">
        <v>488</v>
      </c>
      <c r="K27" s="2"/>
      <c r="L27" s="5"/>
      <c r="S27" s="1"/>
      <c r="T27" s="1"/>
      <c r="U27" s="1"/>
    </row>
    <row r="28" spans="2:21" ht="15.75" customHeight="1" thickBot="1" x14ac:dyDescent="0.3">
      <c r="B28" s="22">
        <v>23</v>
      </c>
      <c r="C28" s="9" t="s">
        <v>62</v>
      </c>
      <c r="D28" s="9">
        <v>93</v>
      </c>
      <c r="E28" s="21">
        <f t="shared" si="6"/>
        <v>93</v>
      </c>
      <c r="F28" s="23"/>
      <c r="H28" s="22">
        <v>31</v>
      </c>
      <c r="I28" s="2" t="s">
        <v>63</v>
      </c>
      <c r="J28" s="9">
        <v>100</v>
      </c>
      <c r="K28" s="2"/>
      <c r="L28" s="23"/>
    </row>
    <row r="29" spans="2:21" ht="15.75" customHeight="1" thickBot="1" x14ac:dyDescent="0.3">
      <c r="B29" s="19"/>
      <c r="C29" s="9" t="s">
        <v>64</v>
      </c>
      <c r="D29" s="9"/>
      <c r="E29" s="21">
        <f t="shared" si="6"/>
        <v>0</v>
      </c>
      <c r="F29" s="5"/>
      <c r="H29" s="13"/>
      <c r="I29" s="14" t="s">
        <v>41</v>
      </c>
      <c r="J29" s="14">
        <f>SUM(J21:J28)</f>
        <v>2583</v>
      </c>
      <c r="K29" s="14">
        <f t="shared" ref="K29:L29" si="7">SUM(K21:K27)</f>
        <v>0</v>
      </c>
      <c r="L29" s="16">
        <f t="shared" si="7"/>
        <v>0</v>
      </c>
      <c r="N29" t="s">
        <v>21</v>
      </c>
      <c r="O29" s="105">
        <v>124</v>
      </c>
    </row>
    <row r="30" spans="2:21" ht="15.75" customHeight="1" thickBot="1" x14ac:dyDescent="0.3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9" t="s">
        <v>18</v>
      </c>
      <c r="D32" s="9"/>
      <c r="E32" s="21">
        <f t="shared" si="6"/>
        <v>0</v>
      </c>
      <c r="F32" s="23"/>
      <c r="H32" s="4"/>
      <c r="I32" s="2" t="s">
        <v>10</v>
      </c>
      <c r="J32" s="2" t="s">
        <v>11</v>
      </c>
      <c r="K32" s="2" t="s">
        <v>12</v>
      </c>
      <c r="L32" s="5" t="s">
        <v>13</v>
      </c>
    </row>
    <row r="33" spans="2:12" ht="15.75" customHeight="1" x14ac:dyDescent="0.25">
      <c r="B33" s="19">
        <v>30</v>
      </c>
      <c r="C33" s="9" t="s">
        <v>68</v>
      </c>
      <c r="D33" s="9"/>
      <c r="E33" s="21">
        <f t="shared" si="6"/>
        <v>0</v>
      </c>
      <c r="F33" s="5"/>
      <c r="H33" s="8">
        <v>22</v>
      </c>
      <c r="I33" s="2" t="s">
        <v>69</v>
      </c>
      <c r="J33" s="9">
        <v>94</v>
      </c>
      <c r="K33" s="2"/>
      <c r="L33" s="5"/>
    </row>
    <row r="34" spans="2:12" ht="15.75" customHeight="1" thickBot="1" x14ac:dyDescent="0.3">
      <c r="B34" s="17"/>
      <c r="C34" s="1" t="s">
        <v>70</v>
      </c>
      <c r="D34" s="1"/>
      <c r="E34" s="21">
        <f t="shared" si="6"/>
        <v>0</v>
      </c>
      <c r="F34" s="23"/>
      <c r="H34" s="19"/>
      <c r="I34" s="2" t="s">
        <v>71</v>
      </c>
      <c r="J34" s="9">
        <v>350</v>
      </c>
      <c r="K34" s="2"/>
      <c r="L34" s="5"/>
    </row>
    <row r="35" spans="2:12" ht="15.75" customHeight="1" thickBot="1" x14ac:dyDescent="0.3">
      <c r="B35" s="24"/>
      <c r="C35" s="25" t="s">
        <v>41</v>
      </c>
      <c r="D35" s="25">
        <f t="shared" ref="D35:F35" si="8">SUM(D25:D34)</f>
        <v>1643</v>
      </c>
      <c r="E35" s="26">
        <f t="shared" si="8"/>
        <v>1643</v>
      </c>
      <c r="F35" s="27">
        <f t="shared" si="8"/>
        <v>0</v>
      </c>
      <c r="H35" s="8">
        <v>24</v>
      </c>
      <c r="I35" s="2" t="s">
        <v>72</v>
      </c>
      <c r="J35" s="9">
        <v>0</v>
      </c>
      <c r="K35" s="2"/>
      <c r="L35" s="5"/>
    </row>
    <row r="36" spans="2:12" ht="15.75" customHeight="1" x14ac:dyDescent="0.25">
      <c r="H36" s="8">
        <v>29</v>
      </c>
      <c r="I36" s="2" t="s">
        <v>73</v>
      </c>
      <c r="J36" s="9"/>
      <c r="K36" s="2"/>
      <c r="L36" s="5"/>
    </row>
    <row r="37" spans="2:12" ht="15.75" customHeight="1" x14ac:dyDescent="0.25">
      <c r="C37" s="1" t="s">
        <v>74</v>
      </c>
      <c r="D37" s="28">
        <f>E35+E21+E14</f>
        <v>3756.79</v>
      </c>
      <c r="E37" s="28">
        <f>150</f>
        <v>150</v>
      </c>
      <c r="F37" s="1" t="s">
        <v>75</v>
      </c>
      <c r="H37" s="19"/>
      <c r="I37" s="2" t="s">
        <v>76</v>
      </c>
      <c r="J37" s="9">
        <v>209</v>
      </c>
      <c r="K37" s="2"/>
      <c r="L37" s="5"/>
    </row>
    <row r="38" spans="2:12" ht="15.75" customHeight="1" x14ac:dyDescent="0.25">
      <c r="C38" s="1" t="s">
        <v>77</v>
      </c>
      <c r="D38" s="29"/>
      <c r="E38" s="1"/>
      <c r="F38" s="1"/>
      <c r="H38" s="8">
        <v>26</v>
      </c>
      <c r="I38" s="2" t="s">
        <v>78</v>
      </c>
      <c r="J38" s="9"/>
      <c r="K38" s="2"/>
      <c r="L38" s="5"/>
    </row>
    <row r="39" spans="2:12" ht="15.75" customHeight="1" x14ac:dyDescent="0.25">
      <c r="C39" s="1" t="s">
        <v>79</v>
      </c>
      <c r="E39" s="28">
        <f>E37+E38+D37</f>
        <v>3906.79</v>
      </c>
      <c r="H39" s="19"/>
      <c r="I39" s="2" t="s">
        <v>80</v>
      </c>
      <c r="J39" s="9"/>
      <c r="K39" s="2"/>
      <c r="L39" s="5"/>
    </row>
    <row r="40" spans="2:12" ht="15.75" customHeight="1" thickBot="1" x14ac:dyDescent="0.3">
      <c r="D40" s="1"/>
      <c r="E40" s="1"/>
      <c r="H40" s="17"/>
      <c r="I40" s="2" t="s">
        <v>81</v>
      </c>
      <c r="J40" s="9"/>
      <c r="K40" s="2"/>
      <c r="L40" s="23"/>
    </row>
    <row r="41" spans="2:12" ht="15.75" customHeight="1" thickBot="1" x14ac:dyDescent="0.3">
      <c r="E41" s="28"/>
      <c r="H41" s="13"/>
      <c r="I41" s="14" t="s">
        <v>41</v>
      </c>
      <c r="J41" s="14">
        <f>SUM(J33:J40)</f>
        <v>653</v>
      </c>
      <c r="K41" s="14">
        <f t="shared" ref="K41:L41" si="9">SUM(K33:K39)</f>
        <v>0</v>
      </c>
      <c r="L41" s="16">
        <f t="shared" si="9"/>
        <v>0</v>
      </c>
    </row>
    <row r="42" spans="2:12" ht="15.75" customHeight="1" x14ac:dyDescent="0.25"/>
    <row r="43" spans="2:12" ht="15.75" customHeight="1" x14ac:dyDescent="0.25">
      <c r="C43" s="30" t="s">
        <v>36</v>
      </c>
      <c r="D43" s="30">
        <v>50</v>
      </c>
      <c r="I43" s="1">
        <f>D14+D21+D35</f>
        <v>6093</v>
      </c>
      <c r="J43" s="1">
        <f>J41+J29+J17</f>
        <v>9301</v>
      </c>
      <c r="K43" s="1">
        <f>J43+I43</f>
        <v>15394</v>
      </c>
    </row>
    <row r="44" spans="2:12" ht="15.75" customHeight="1" x14ac:dyDescent="0.25"/>
    <row r="45" spans="2:12" ht="15.75" customHeight="1" x14ac:dyDescent="0.25">
      <c r="D45" s="1"/>
      <c r="F45" s="1"/>
    </row>
    <row r="46" spans="2:12" ht="15.75" customHeight="1" x14ac:dyDescent="0.25">
      <c r="D46" s="1"/>
      <c r="F46" s="1"/>
    </row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B2:F2"/>
    <mergeCell ref="H2:L2"/>
    <mergeCell ref="B16:F16"/>
    <mergeCell ref="H19:L19"/>
    <mergeCell ref="B23:F23"/>
    <mergeCell ref="H31:L31"/>
  </mergeCells>
  <conditionalFormatting sqref="T3:T4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0"/>
  <sheetViews>
    <sheetView workbookViewId="0">
      <selection activeCell="P8" sqref="P8"/>
    </sheetView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4"/>
      <c r="I3" s="2" t="s">
        <v>10</v>
      </c>
      <c r="J3" s="2" t="s">
        <v>11</v>
      </c>
      <c r="K3" s="2" t="s">
        <v>12</v>
      </c>
      <c r="L3" s="5" t="s">
        <v>13</v>
      </c>
      <c r="N3" s="2" t="s">
        <v>14</v>
      </c>
      <c r="O3" s="6">
        <v>7660</v>
      </c>
      <c r="P3" s="2">
        <f t="shared" ref="P3:P5" si="0">Q3+R3+S3</f>
        <v>5259</v>
      </c>
      <c r="Q3" s="2">
        <f>D14</f>
        <v>4075</v>
      </c>
      <c r="R3" s="2">
        <f>D21</f>
        <v>861</v>
      </c>
      <c r="S3" s="2">
        <f>D35</f>
        <v>323</v>
      </c>
      <c r="T3" s="7">
        <f t="shared" ref="T3:T4" si="1">O3-P3</f>
        <v>2401</v>
      </c>
    </row>
    <row r="4" spans="1:20" x14ac:dyDescent="0.25">
      <c r="B4" s="8">
        <v>2</v>
      </c>
      <c r="C4" s="9" t="s">
        <v>15</v>
      </c>
      <c r="D4" s="9">
        <v>85</v>
      </c>
      <c r="E4" s="10">
        <f>'Kwiecień26 - wydatki'!$D4-'Kwiecień26 - wydatki'!$F4</f>
        <v>0</v>
      </c>
      <c r="F4" s="5">
        <v>85</v>
      </c>
      <c r="G4" s="2"/>
      <c r="H4" s="8">
        <v>1</v>
      </c>
      <c r="I4" s="9" t="s">
        <v>16</v>
      </c>
      <c r="J4" s="9">
        <v>3400</v>
      </c>
      <c r="K4" s="2"/>
      <c r="L4" s="5"/>
      <c r="N4" s="2" t="s">
        <v>17</v>
      </c>
      <c r="O4" s="11">
        <f>5832+2300</f>
        <v>8132</v>
      </c>
      <c r="P4" s="2">
        <f t="shared" si="0"/>
        <v>10533</v>
      </c>
      <c r="Q4" s="2">
        <f>J17</f>
        <v>6045</v>
      </c>
      <c r="R4" s="2">
        <f>J29</f>
        <v>2545</v>
      </c>
      <c r="S4" s="2">
        <f>J41</f>
        <v>1943</v>
      </c>
      <c r="T4" s="7">
        <f t="shared" si="1"/>
        <v>-2401</v>
      </c>
    </row>
    <row r="5" spans="1:20" x14ac:dyDescent="0.25">
      <c r="B5" s="8">
        <v>4</v>
      </c>
      <c r="C5" s="9" t="s">
        <v>18</v>
      </c>
      <c r="D5" s="9">
        <v>40</v>
      </c>
      <c r="E5" s="10">
        <f>'Kwiecień26 - wydatki'!$D5-'Kwiecień26 - wydatki'!$F5</f>
        <v>0</v>
      </c>
      <c r="F5" s="5">
        <v>40</v>
      </c>
      <c r="G5" s="2"/>
      <c r="H5" s="8">
        <v>3</v>
      </c>
      <c r="I5" s="9" t="s">
        <v>19</v>
      </c>
      <c r="J5" s="9">
        <v>140</v>
      </c>
      <c r="K5" s="2"/>
      <c r="L5" s="5"/>
      <c r="N5" s="2" t="s">
        <v>5</v>
      </c>
      <c r="O5" s="2" t="b">
        <f>K43=O3+O4</f>
        <v>1</v>
      </c>
      <c r="P5" s="2">
        <f t="shared" si="0"/>
        <v>15792</v>
      </c>
      <c r="Q5" s="2">
        <f t="shared" ref="Q5:S5" si="2">Q3+Q4</f>
        <v>10120</v>
      </c>
      <c r="R5" s="2">
        <f t="shared" si="2"/>
        <v>3406</v>
      </c>
      <c r="S5" s="2">
        <f t="shared" si="2"/>
        <v>2266</v>
      </c>
      <c r="T5" s="12"/>
    </row>
    <row r="6" spans="1:20" x14ac:dyDescent="0.25">
      <c r="B6" s="8">
        <v>7</v>
      </c>
      <c r="C6" s="9" t="s">
        <v>20</v>
      </c>
      <c r="D6" s="9">
        <v>1200</v>
      </c>
      <c r="E6" s="10">
        <f>'Kwiecień26 - wydatki'!$D6-'Kwiecień26 - wydatki'!$F6</f>
        <v>-0.26999999999998181</v>
      </c>
      <c r="F6" s="5">
        <f>8+155+280+285+250+10+143.27+69</f>
        <v>1200.27</v>
      </c>
      <c r="G6" s="2"/>
      <c r="H6" s="8">
        <v>9</v>
      </c>
      <c r="I6" s="9" t="s">
        <v>21</v>
      </c>
      <c r="J6" s="9">
        <v>800</v>
      </c>
      <c r="K6" s="2"/>
      <c r="L6" s="5"/>
    </row>
    <row r="7" spans="1:20" x14ac:dyDescent="0.25">
      <c r="B7" s="8">
        <v>8</v>
      </c>
      <c r="C7" s="9" t="s">
        <v>21</v>
      </c>
      <c r="D7" s="9">
        <v>800</v>
      </c>
      <c r="E7" s="10">
        <f>'Kwiecień26 - wydatki'!$D7-'Kwiecień26 - wydatki'!$F7</f>
        <v>-0.38999999999998636</v>
      </c>
      <c r="F7" s="5">
        <f>75.71+13.55+190.8+8.29+14.48+38.3+5.4+14.32+25+44.37+57.33+16+10+106.38+35.95+57.97-50+74.39+6.99+28.08+3+43.34+9.79+46.05+0.79+66.11-18-124</f>
        <v>800.39</v>
      </c>
      <c r="G7" s="2"/>
      <c r="H7" s="8">
        <v>11</v>
      </c>
      <c r="I7" s="9" t="s">
        <v>22</v>
      </c>
      <c r="J7" s="9">
        <v>140</v>
      </c>
      <c r="K7" s="2"/>
      <c r="L7" s="5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'Kwiecień26 - wydatki'!$D8-F8</f>
        <v>0</v>
      </c>
      <c r="F8" s="5">
        <f>269+31</f>
        <v>300</v>
      </c>
      <c r="G8" s="2"/>
      <c r="H8" s="8">
        <v>12</v>
      </c>
      <c r="I8" s="9" t="s">
        <v>25</v>
      </c>
      <c r="J8" s="9">
        <v>65</v>
      </c>
      <c r="K8" s="2"/>
      <c r="L8" s="5"/>
      <c r="N8" s="1" t="s">
        <v>26</v>
      </c>
      <c r="O8" s="1" t="s">
        <v>27</v>
      </c>
      <c r="P8" s="1">
        <f>4230+261+318-1650+300-223+300-250+250+228+453+350-332-350+358-120+500-200+400-60-2400+400+2400+153</f>
        <v>5316</v>
      </c>
      <c r="Q8" s="1" t="s">
        <v>150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'Kwiecień26 - wydatki'!$D9-'Kwiecień26 - wydatki'!$F9</f>
        <v>1.0000000000005116E-2</v>
      </c>
      <c r="F9" s="5">
        <f>10+18+35+10+8.99+18</f>
        <v>99.99</v>
      </c>
      <c r="G9" s="2"/>
      <c r="H9" s="8">
        <v>13</v>
      </c>
      <c r="I9" s="9" t="s">
        <v>30</v>
      </c>
      <c r="J9" s="9">
        <v>300</v>
      </c>
      <c r="K9" s="2"/>
      <c r="L9" s="5"/>
      <c r="O9" s="1" t="s">
        <v>31</v>
      </c>
      <c r="P9" s="1">
        <v>5500</v>
      </c>
      <c r="Q9" s="1" t="s">
        <v>150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'Kwiecień26 - wydatki'!$D10-'Kwiecień26 - wydatki'!$F10</f>
        <v>0</v>
      </c>
      <c r="F10" s="5">
        <f>30+140+330</f>
        <v>500</v>
      </c>
      <c r="G10" s="2"/>
      <c r="H10" s="8">
        <v>17</v>
      </c>
      <c r="I10" s="9" t="s">
        <v>34</v>
      </c>
      <c r="J10" s="9">
        <v>50</v>
      </c>
      <c r="K10" s="2"/>
      <c r="L10" s="5"/>
      <c r="O10" s="1" t="s">
        <v>35</v>
      </c>
      <c r="P10" s="1">
        <v>31</v>
      </c>
      <c r="Q10" s="1" t="s">
        <v>150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'Kwiecień26 - wydatki'!$D11-'Kwiecień26 - wydatki'!$F11</f>
        <v>0</v>
      </c>
      <c r="F11" s="5">
        <v>50</v>
      </c>
      <c r="G11" s="2"/>
      <c r="H11" s="8">
        <v>18</v>
      </c>
      <c r="I11" s="9" t="s">
        <v>37</v>
      </c>
      <c r="J11" s="9">
        <v>100</v>
      </c>
      <c r="K11" s="2"/>
      <c r="L11" s="5"/>
      <c r="P11" s="1">
        <f>P8+P9+P10</f>
        <v>10847</v>
      </c>
    </row>
    <row r="12" spans="1:20" x14ac:dyDescent="0.25">
      <c r="B12" s="8">
        <v>26</v>
      </c>
      <c r="C12" s="9" t="s">
        <v>38</v>
      </c>
      <c r="D12" s="9">
        <v>500</v>
      </c>
      <c r="E12" s="10">
        <f>'Kwiecień26 - wydatki'!$D12-'Kwiecień26 - wydatki'!$F12</f>
        <v>0</v>
      </c>
      <c r="F12" s="5">
        <v>500</v>
      </c>
      <c r="G12" s="2"/>
      <c r="H12" s="8">
        <v>20</v>
      </c>
      <c r="I12" s="9" t="s">
        <v>39</v>
      </c>
      <c r="J12" s="9">
        <v>100</v>
      </c>
      <c r="K12" s="2"/>
      <c r="L12" s="5"/>
      <c r="O12" s="1"/>
      <c r="P12" s="1"/>
      <c r="Q12" s="1"/>
    </row>
    <row r="13" spans="1:20" x14ac:dyDescent="0.25">
      <c r="B13" s="8">
        <v>27</v>
      </c>
      <c r="C13" s="9" t="s">
        <v>40</v>
      </c>
      <c r="D13" s="9">
        <v>500</v>
      </c>
      <c r="E13" s="10">
        <f>D13-F13</f>
        <v>0</v>
      </c>
      <c r="F13" s="5">
        <f>62+30+94+314</f>
        <v>500</v>
      </c>
      <c r="G13" s="2"/>
      <c r="H13" s="8">
        <v>22</v>
      </c>
      <c r="I13" s="9" t="s">
        <v>36</v>
      </c>
      <c r="J13" s="9">
        <v>50</v>
      </c>
      <c r="K13" s="2"/>
      <c r="L13" s="5"/>
    </row>
    <row r="14" spans="1:20" x14ac:dyDescent="0.25">
      <c r="B14" s="13"/>
      <c r="C14" s="14" t="s">
        <v>41</v>
      </c>
      <c r="D14" s="14">
        <f t="shared" ref="D14:E14" si="3">SUM(D4:D13)</f>
        <v>4075</v>
      </c>
      <c r="E14" s="15">
        <f t="shared" si="3"/>
        <v>-0.64999999999996305</v>
      </c>
      <c r="F14" s="16"/>
      <c r="G14" s="2"/>
      <c r="H14" s="8">
        <v>23</v>
      </c>
      <c r="I14" s="9" t="s">
        <v>42</v>
      </c>
      <c r="J14" s="9">
        <v>350</v>
      </c>
      <c r="K14" s="2"/>
      <c r="L14" s="5"/>
      <c r="N14" s="1" t="s">
        <v>43</v>
      </c>
      <c r="P14" s="1">
        <v>2000</v>
      </c>
      <c r="Q14" s="1" t="s">
        <v>32</v>
      </c>
    </row>
    <row r="15" spans="1:20" x14ac:dyDescent="0.25">
      <c r="G15" s="2"/>
      <c r="H15" s="8">
        <v>25</v>
      </c>
      <c r="I15" s="9" t="s">
        <v>44</v>
      </c>
      <c r="J15" s="9">
        <v>50</v>
      </c>
      <c r="K15" s="2"/>
      <c r="L15" s="5"/>
    </row>
    <row r="16" spans="1:20" x14ac:dyDescent="0.25">
      <c r="B16" s="98" t="s">
        <v>45</v>
      </c>
      <c r="C16" s="96"/>
      <c r="D16" s="96"/>
      <c r="E16" s="96"/>
      <c r="F16" s="97"/>
      <c r="G16" s="2"/>
      <c r="H16" s="8">
        <v>28</v>
      </c>
      <c r="I16" s="9" t="s">
        <v>46</v>
      </c>
      <c r="J16" s="9">
        <v>500</v>
      </c>
      <c r="K16" s="2"/>
      <c r="L16" s="5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6045</v>
      </c>
      <c r="K17" s="14">
        <f t="shared" si="4"/>
        <v>0</v>
      </c>
      <c r="L17" s="16">
        <f t="shared" si="4"/>
        <v>0</v>
      </c>
      <c r="O17" s="1"/>
      <c r="Q17" s="1"/>
    </row>
    <row r="18" spans="2:21" x14ac:dyDescent="0.25">
      <c r="B18" s="17"/>
      <c r="C18" s="1" t="s">
        <v>47</v>
      </c>
      <c r="D18" s="9">
        <v>500</v>
      </c>
      <c r="E18" s="18">
        <f>'Kwiecień26 - wydatki'!$D18-F18</f>
        <v>0</v>
      </c>
      <c r="F18" s="5">
        <v>500</v>
      </c>
    </row>
    <row r="19" spans="2:21" x14ac:dyDescent="0.25">
      <c r="B19" s="19"/>
      <c r="C19" s="9" t="s">
        <v>48</v>
      </c>
      <c r="D19" s="9">
        <v>361</v>
      </c>
      <c r="E19" s="18">
        <f>'Kwiecień26 - wydatki'!$D19-F19</f>
        <v>0</v>
      </c>
      <c r="F19" s="5">
        <f>198+10+153</f>
        <v>361</v>
      </c>
      <c r="H19" s="95" t="s">
        <v>49</v>
      </c>
      <c r="I19" s="96"/>
      <c r="J19" s="96"/>
      <c r="K19" s="96"/>
      <c r="L19" s="97"/>
    </row>
    <row r="20" spans="2:21" x14ac:dyDescent="0.25">
      <c r="B20" s="19"/>
      <c r="C20" s="9" t="s">
        <v>50</v>
      </c>
      <c r="D20" s="9"/>
      <c r="E20" s="18">
        <f>'Kwiecień26 - wydatki'!$D20-F20</f>
        <v>0</v>
      </c>
      <c r="F20" s="5"/>
      <c r="H20" s="4"/>
      <c r="I20" s="2" t="s">
        <v>10</v>
      </c>
      <c r="J20" s="2" t="s">
        <v>11</v>
      </c>
      <c r="K20" s="2" t="s">
        <v>12</v>
      </c>
      <c r="L20" s="5" t="s">
        <v>13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861</v>
      </c>
      <c r="E21" s="20">
        <f t="shared" si="5"/>
        <v>0</v>
      </c>
      <c r="F21" s="16">
        <f t="shared" si="5"/>
        <v>861</v>
      </c>
      <c r="H21" s="8">
        <v>6</v>
      </c>
      <c r="I21" s="2" t="s">
        <v>51</v>
      </c>
      <c r="J21" s="9">
        <v>1195</v>
      </c>
      <c r="K21" s="2"/>
      <c r="L21" s="5"/>
      <c r="P21" s="1"/>
      <c r="Q21" s="1"/>
      <c r="R21" s="1"/>
      <c r="S21" s="1"/>
    </row>
    <row r="22" spans="2:21" ht="15.75" customHeight="1" x14ac:dyDescent="0.25">
      <c r="H22" s="8">
        <v>15</v>
      </c>
      <c r="I22" s="2" t="s">
        <v>52</v>
      </c>
      <c r="J22" s="9">
        <v>200</v>
      </c>
      <c r="K22" s="2"/>
      <c r="L22" s="5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8">
        <v>16</v>
      </c>
      <c r="I23" s="2" t="s">
        <v>54</v>
      </c>
      <c r="J23" s="9">
        <v>100</v>
      </c>
      <c r="K23" s="2"/>
      <c r="L23" s="5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19"/>
      <c r="I24" s="2" t="s">
        <v>55</v>
      </c>
      <c r="J24" s="9">
        <v>100</v>
      </c>
      <c r="K24" s="2"/>
      <c r="L24" s="5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v>50</v>
      </c>
      <c r="H25" s="19"/>
      <c r="I25" s="2" t="s">
        <v>57</v>
      </c>
      <c r="J25" s="9">
        <v>50</v>
      </c>
      <c r="K25" s="2"/>
      <c r="L25" s="5"/>
    </row>
    <row r="26" spans="2:21" ht="15.75" customHeight="1" x14ac:dyDescent="0.25">
      <c r="B26" s="19"/>
      <c r="C26" s="9" t="s">
        <v>58</v>
      </c>
      <c r="D26" s="9">
        <v>180</v>
      </c>
      <c r="E26" s="21">
        <f t="shared" si="6"/>
        <v>0</v>
      </c>
      <c r="F26" s="5">
        <v>180</v>
      </c>
      <c r="H26" s="8">
        <v>21</v>
      </c>
      <c r="I26" s="2" t="s">
        <v>59</v>
      </c>
      <c r="J26" s="9">
        <v>400</v>
      </c>
      <c r="K26" s="2"/>
      <c r="L26" s="5"/>
      <c r="S26" s="1"/>
      <c r="T26" s="1"/>
    </row>
    <row r="27" spans="2:21" ht="15.75" customHeight="1" x14ac:dyDescent="0.25">
      <c r="B27" s="19"/>
      <c r="C27" s="9" t="s">
        <v>60</v>
      </c>
      <c r="D27" s="9"/>
      <c r="E27" s="21">
        <f t="shared" si="6"/>
        <v>0</v>
      </c>
      <c r="F27" s="5"/>
      <c r="H27" s="8">
        <v>25</v>
      </c>
      <c r="I27" s="2" t="s">
        <v>61</v>
      </c>
      <c r="J27" s="9">
        <v>400</v>
      </c>
      <c r="K27" s="2"/>
      <c r="L27" s="5"/>
      <c r="S27" s="1"/>
      <c r="T27" s="1"/>
      <c r="U27" s="1"/>
    </row>
    <row r="28" spans="2:21" ht="15.75" customHeight="1" x14ac:dyDescent="0.25">
      <c r="B28" s="22">
        <v>23</v>
      </c>
      <c r="C28" s="9" t="s">
        <v>62</v>
      </c>
      <c r="D28" s="9">
        <v>93</v>
      </c>
      <c r="E28" s="21">
        <f t="shared" si="6"/>
        <v>0</v>
      </c>
      <c r="F28" s="23">
        <v>93</v>
      </c>
      <c r="H28" s="22">
        <v>31</v>
      </c>
      <c r="I28" s="2" t="s">
        <v>63</v>
      </c>
      <c r="J28" s="9">
        <v>100</v>
      </c>
      <c r="K28" s="2"/>
      <c r="L28" s="23"/>
    </row>
    <row r="29" spans="2:21" ht="15.75" customHeight="1" x14ac:dyDescent="0.25">
      <c r="B29" s="19"/>
      <c r="C29" s="9" t="s">
        <v>64</v>
      </c>
      <c r="D29" s="9"/>
      <c r="E29" s="21">
        <f t="shared" si="6"/>
        <v>0</v>
      </c>
      <c r="F29" s="5"/>
      <c r="H29" s="13"/>
      <c r="I29" s="14" t="s">
        <v>41</v>
      </c>
      <c r="J29" s="14">
        <f>SUM(J21:J28)</f>
        <v>2545</v>
      </c>
      <c r="K29" s="14">
        <f t="shared" ref="K29:L29" si="7">SUM(K21:K27)</f>
        <v>0</v>
      </c>
      <c r="L29" s="16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9" t="s">
        <v>18</v>
      </c>
      <c r="D32" s="9"/>
      <c r="E32" s="21">
        <f t="shared" si="6"/>
        <v>0</v>
      </c>
      <c r="F32" s="23"/>
      <c r="H32" s="4"/>
      <c r="I32" s="2" t="s">
        <v>10</v>
      </c>
      <c r="J32" s="2" t="s">
        <v>11</v>
      </c>
      <c r="K32" s="2" t="s">
        <v>12</v>
      </c>
      <c r="L32" s="5" t="s">
        <v>13</v>
      </c>
    </row>
    <row r="33" spans="2:12" ht="15.75" customHeight="1" x14ac:dyDescent="0.25">
      <c r="B33" s="19">
        <v>30</v>
      </c>
      <c r="C33" s="9" t="s">
        <v>68</v>
      </c>
      <c r="D33" s="9"/>
      <c r="E33" s="21">
        <f t="shared" si="6"/>
        <v>0</v>
      </c>
      <c r="F33" s="5"/>
      <c r="H33" s="8">
        <v>22</v>
      </c>
      <c r="I33" s="2" t="s">
        <v>69</v>
      </c>
      <c r="J33" s="9"/>
      <c r="K33" s="2"/>
      <c r="L33" s="5"/>
    </row>
    <row r="34" spans="2:12" ht="15.75" customHeight="1" x14ac:dyDescent="0.25">
      <c r="B34" s="17"/>
      <c r="C34" s="1" t="s">
        <v>70</v>
      </c>
      <c r="D34" s="1"/>
      <c r="E34" s="21">
        <f t="shared" si="6"/>
        <v>0</v>
      </c>
      <c r="F34" s="23"/>
      <c r="H34" s="19"/>
      <c r="I34" s="2" t="s">
        <v>71</v>
      </c>
      <c r="J34" s="9">
        <v>350</v>
      </c>
      <c r="K34" s="2"/>
      <c r="L34" s="5"/>
    </row>
    <row r="35" spans="2:12" ht="15.75" customHeight="1" x14ac:dyDescent="0.25">
      <c r="B35" s="24"/>
      <c r="C35" s="25" t="s">
        <v>41</v>
      </c>
      <c r="D35" s="25">
        <f t="shared" ref="D35:F35" si="8">SUM(D25:D34)</f>
        <v>323</v>
      </c>
      <c r="E35" s="26">
        <f t="shared" si="8"/>
        <v>0</v>
      </c>
      <c r="F35" s="27">
        <f t="shared" si="8"/>
        <v>323</v>
      </c>
      <c r="H35" s="8">
        <v>24</v>
      </c>
      <c r="I35" s="2" t="s">
        <v>72</v>
      </c>
      <c r="J35" s="9">
        <v>1500</v>
      </c>
      <c r="K35" s="2"/>
      <c r="L35" s="5"/>
    </row>
    <row r="36" spans="2:12" ht="15.75" customHeight="1" x14ac:dyDescent="0.25">
      <c r="H36" s="8">
        <v>29</v>
      </c>
      <c r="I36" s="2" t="s">
        <v>73</v>
      </c>
      <c r="J36" s="9"/>
      <c r="K36" s="2"/>
      <c r="L36" s="5"/>
    </row>
    <row r="37" spans="2:12" ht="15.75" customHeight="1" x14ac:dyDescent="0.25">
      <c r="C37" s="1" t="s">
        <v>74</v>
      </c>
      <c r="D37" s="28">
        <f>E35+E21+E14</f>
        <v>-0.64999999999996305</v>
      </c>
      <c r="E37" s="28">
        <f>150</f>
        <v>150</v>
      </c>
      <c r="F37" s="1" t="s">
        <v>75</v>
      </c>
      <c r="H37" s="19"/>
      <c r="I37" s="2" t="s">
        <v>76</v>
      </c>
      <c r="J37" s="9">
        <v>93</v>
      </c>
      <c r="K37" s="2"/>
      <c r="L37" s="5"/>
    </row>
    <row r="38" spans="2:12" ht="15.75" customHeight="1" x14ac:dyDescent="0.25">
      <c r="C38" s="1" t="s">
        <v>77</v>
      </c>
      <c r="D38" s="29"/>
      <c r="E38" s="1"/>
      <c r="F38" s="1"/>
      <c r="H38" s="8">
        <v>26</v>
      </c>
      <c r="I38" s="2" t="s">
        <v>78</v>
      </c>
      <c r="J38" s="9"/>
      <c r="K38" s="2"/>
      <c r="L38" s="5"/>
    </row>
    <row r="39" spans="2:12" ht="15.75" customHeight="1" x14ac:dyDescent="0.25">
      <c r="C39" s="1" t="s">
        <v>79</v>
      </c>
      <c r="E39" s="28">
        <f>E37+E38+D37</f>
        <v>149.35000000000002</v>
      </c>
      <c r="H39" s="19"/>
      <c r="I39" s="2" t="s">
        <v>80</v>
      </c>
      <c r="J39" s="9"/>
      <c r="K39" s="2"/>
      <c r="L39" s="5"/>
    </row>
    <row r="40" spans="2:12" ht="15.75" customHeight="1" x14ac:dyDescent="0.25">
      <c r="D40" s="1"/>
      <c r="E40" s="1"/>
      <c r="H40" s="17"/>
      <c r="I40" s="2" t="s">
        <v>81</v>
      </c>
      <c r="J40" s="9"/>
      <c r="K40" s="2"/>
      <c r="L40" s="23"/>
    </row>
    <row r="41" spans="2:12" ht="15.75" customHeight="1" x14ac:dyDescent="0.25">
      <c r="E41" s="28"/>
      <c r="H41" s="13"/>
      <c r="I41" s="14" t="s">
        <v>41</v>
      </c>
      <c r="J41" s="14">
        <f>SUM(J33:J40)</f>
        <v>1943</v>
      </c>
      <c r="K41" s="14">
        <f t="shared" ref="K41:L41" si="9">SUM(K33:K39)</f>
        <v>0</v>
      </c>
      <c r="L41" s="16">
        <f t="shared" si="9"/>
        <v>0</v>
      </c>
    </row>
    <row r="42" spans="2:12" ht="15.75" customHeight="1" x14ac:dyDescent="0.25"/>
    <row r="43" spans="2:12" ht="15.75" customHeight="1" x14ac:dyDescent="0.25">
      <c r="C43" s="30" t="s">
        <v>36</v>
      </c>
      <c r="D43" s="30">
        <v>100</v>
      </c>
      <c r="I43" s="1">
        <f>D14+D21+D35</f>
        <v>5259</v>
      </c>
      <c r="J43" s="1">
        <f>J41+J29+J17</f>
        <v>10533</v>
      </c>
      <c r="K43" s="1">
        <f>J43+I43</f>
        <v>15792</v>
      </c>
    </row>
    <row r="44" spans="2:12" ht="15.75" customHeight="1" x14ac:dyDescent="0.25"/>
    <row r="45" spans="2:12" ht="15.75" customHeight="1" x14ac:dyDescent="0.25">
      <c r="D45" s="1"/>
      <c r="F45" s="1"/>
    </row>
    <row r="46" spans="2:12" ht="15.75" customHeight="1" x14ac:dyDescent="0.25">
      <c r="D46" s="1"/>
      <c r="F46" s="1"/>
    </row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56" priority="1" operator="lessThan">
      <formula>0</formula>
    </cfRule>
    <cfRule type="cellIs" dxfId="55" priority="2" operator="greaterThan">
      <formula>0</formula>
    </cfRule>
    <cfRule type="cellIs" dxfId="54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4"/>
      <c r="I3" s="2" t="s">
        <v>10</v>
      </c>
      <c r="J3" s="2" t="s">
        <v>11</v>
      </c>
      <c r="K3" s="2" t="s">
        <v>12</v>
      </c>
      <c r="L3" s="5" t="s">
        <v>13</v>
      </c>
      <c r="N3" s="2" t="s">
        <v>14</v>
      </c>
      <c r="O3" s="6">
        <v>7260</v>
      </c>
      <c r="P3" s="2">
        <f t="shared" ref="P3:P5" si="0">Q3+R3+S3</f>
        <v>6025</v>
      </c>
      <c r="Q3" s="2">
        <f>D14</f>
        <v>4685</v>
      </c>
      <c r="R3" s="2">
        <f>D21</f>
        <v>900</v>
      </c>
      <c r="S3" s="2">
        <f>D35</f>
        <v>440</v>
      </c>
      <c r="T3" s="7">
        <f t="shared" ref="T3:T4" si="1">O3-P3</f>
        <v>1235</v>
      </c>
    </row>
    <row r="4" spans="1:20" x14ac:dyDescent="0.25">
      <c r="B4" s="8">
        <v>2</v>
      </c>
      <c r="C4" s="9" t="s">
        <v>15</v>
      </c>
      <c r="D4" s="9">
        <v>85</v>
      </c>
      <c r="E4" s="10">
        <f>'Marzec26 - wydatki'!$D4-'Marzec26 - wydatki'!$F4</f>
        <v>0</v>
      </c>
      <c r="F4" s="5">
        <v>85</v>
      </c>
      <c r="G4" s="2"/>
      <c r="H4" s="8">
        <v>1</v>
      </c>
      <c r="I4" s="9" t="s">
        <v>16</v>
      </c>
      <c r="J4" s="9">
        <v>3400</v>
      </c>
      <c r="K4" s="2"/>
      <c r="L4" s="5"/>
      <c r="N4" s="2" t="s">
        <v>17</v>
      </c>
      <c r="O4" s="11">
        <f>5786+2300</f>
        <v>8086</v>
      </c>
      <c r="P4" s="2">
        <f t="shared" si="0"/>
        <v>9321</v>
      </c>
      <c r="Q4" s="2">
        <f>J17</f>
        <v>6188</v>
      </c>
      <c r="R4" s="2">
        <f>J29</f>
        <v>2590</v>
      </c>
      <c r="S4" s="2">
        <f>J41</f>
        <v>543</v>
      </c>
      <c r="T4" s="7">
        <f t="shared" si="1"/>
        <v>-1235</v>
      </c>
    </row>
    <row r="5" spans="1:20" x14ac:dyDescent="0.25">
      <c r="B5" s="8">
        <v>4</v>
      </c>
      <c r="C5" s="9" t="s">
        <v>18</v>
      </c>
      <c r="D5" s="9">
        <v>40</v>
      </c>
      <c r="E5" s="10">
        <f>'Marzec26 - wydatki'!$D5-'Marzec26 - wydatki'!$F5</f>
        <v>0</v>
      </c>
      <c r="F5" s="5">
        <v>40</v>
      </c>
      <c r="G5" s="2"/>
      <c r="H5" s="8">
        <v>3</v>
      </c>
      <c r="I5" s="9" t="s">
        <v>19</v>
      </c>
      <c r="J5" s="9">
        <v>283</v>
      </c>
      <c r="K5" s="2"/>
      <c r="L5" s="5"/>
      <c r="N5" s="2" t="s">
        <v>5</v>
      </c>
      <c r="O5" s="2" t="b">
        <f>K43=O3+O4</f>
        <v>1</v>
      </c>
      <c r="P5" s="2">
        <f t="shared" si="0"/>
        <v>15346</v>
      </c>
      <c r="Q5" s="2">
        <f t="shared" ref="Q5:S5" si="2">Q3+Q4</f>
        <v>10873</v>
      </c>
      <c r="R5" s="2">
        <f t="shared" si="2"/>
        <v>3490</v>
      </c>
      <c r="S5" s="2">
        <f t="shared" si="2"/>
        <v>983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'Marzec26 - wydatki'!$D6-'Marzec26 - wydatki'!$F6</f>
        <v>0</v>
      </c>
      <c r="F6" s="5">
        <f>111+223+326+140</f>
        <v>800</v>
      </c>
      <c r="G6" s="2"/>
      <c r="H6" s="8">
        <v>9</v>
      </c>
      <c r="I6" s="9" t="s">
        <v>21</v>
      </c>
      <c r="J6" s="9">
        <v>800</v>
      </c>
      <c r="K6" s="2"/>
      <c r="L6" s="5"/>
    </row>
    <row r="7" spans="1:20" x14ac:dyDescent="0.25">
      <c r="B7" s="8">
        <v>8</v>
      </c>
      <c r="C7" s="9" t="s">
        <v>21</v>
      </c>
      <c r="D7" s="9">
        <v>800</v>
      </c>
      <c r="E7" s="10">
        <f>'Marzec26 - wydatki'!$D7-'Marzec26 - wydatki'!$F7</f>
        <v>0.38999999999998636</v>
      </c>
      <c r="F7" s="5">
        <f>18.52+57.24+72.31+14.78+9+9.47+29.2+10.38+16.16+20-10+78.33+42.55+8.47+20.97+32.57+26.68+35.59+18.41+50.19+211.01+4.23+13.55+10</f>
        <v>799.61</v>
      </c>
      <c r="G7" s="2"/>
      <c r="H7" s="8">
        <v>11</v>
      </c>
      <c r="I7" s="9" t="s">
        <v>22</v>
      </c>
      <c r="J7" s="9">
        <v>140</v>
      </c>
      <c r="K7" s="2"/>
      <c r="L7" s="5"/>
      <c r="N7" s="1" t="s">
        <v>23</v>
      </c>
    </row>
    <row r="8" spans="1:20" x14ac:dyDescent="0.25">
      <c r="B8" s="8">
        <v>5</v>
      </c>
      <c r="C8" s="9" t="s">
        <v>24</v>
      </c>
      <c r="D8" s="9">
        <v>310</v>
      </c>
      <c r="E8" s="10">
        <f>'Marzec26 - wydatki'!$D8-F8</f>
        <v>0</v>
      </c>
      <c r="F8" s="5">
        <v>310</v>
      </c>
      <c r="G8" s="2"/>
      <c r="H8" s="8">
        <v>12</v>
      </c>
      <c r="I8" s="9" t="s">
        <v>25</v>
      </c>
      <c r="J8" s="9">
        <v>65</v>
      </c>
      <c r="K8" s="2"/>
      <c r="L8" s="5"/>
      <c r="N8" s="1" t="s">
        <v>26</v>
      </c>
      <c r="O8" s="1" t="s">
        <v>27</v>
      </c>
      <c r="P8" s="1">
        <f>4230+261+318-1650+300-223+300-250+250+228+453+350-332-350+358-120+500-200+400-60-2400+400</f>
        <v>2763</v>
      </c>
      <c r="Q8" s="1" t="s">
        <v>28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'Marzec26 - wydatki'!$D9-'Marzec26 - wydatki'!$F9</f>
        <v>0</v>
      </c>
      <c r="F9" s="5">
        <f>5+15+30+67.5-17.5</f>
        <v>100</v>
      </c>
      <c r="G9" s="2"/>
      <c r="H9" s="8">
        <v>13</v>
      </c>
      <c r="I9" s="9" t="s">
        <v>30</v>
      </c>
      <c r="J9" s="9">
        <v>300</v>
      </c>
      <c r="K9" s="2"/>
      <c r="L9" s="5"/>
      <c r="O9" s="1" t="s">
        <v>31</v>
      </c>
      <c r="P9" s="1">
        <f>6660+1230+100+10+1000+1000+1000+1000+1500+1500+1500-15000+1500</f>
        <v>3000</v>
      </c>
      <c r="Q9" s="1" t="s">
        <v>32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'Marzec26 - wydatki'!$D10-'Marzec26 - wydatki'!$F10</f>
        <v>0</v>
      </c>
      <c r="F10" s="5">
        <v>500</v>
      </c>
      <c r="G10" s="2"/>
      <c r="H10" s="8">
        <v>17</v>
      </c>
      <c r="I10" s="9" t="s">
        <v>34</v>
      </c>
      <c r="J10" s="9">
        <v>50</v>
      </c>
      <c r="K10" s="2"/>
      <c r="L10" s="5"/>
      <c r="O10" s="1" t="s">
        <v>35</v>
      </c>
      <c r="P10" s="1">
        <f>127+100+152+173+163+150+65-178-300-230-222</f>
        <v>0</v>
      </c>
      <c r="Q10" s="1" t="s">
        <v>32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'Marzec26 - wydatki'!$D11-'Marzec26 - wydatki'!$F11</f>
        <v>0</v>
      </c>
      <c r="F11" s="5">
        <v>50</v>
      </c>
      <c r="G11" s="2"/>
      <c r="H11" s="8">
        <v>18</v>
      </c>
      <c r="I11" s="9" t="s">
        <v>37</v>
      </c>
      <c r="J11" s="9">
        <v>100</v>
      </c>
      <c r="K11" s="2"/>
      <c r="L11" s="5"/>
      <c r="P11" s="1">
        <f>P8+P9+P10</f>
        <v>5763</v>
      </c>
    </row>
    <row r="12" spans="1:20" x14ac:dyDescent="0.25">
      <c r="B12" s="8">
        <v>26</v>
      </c>
      <c r="C12" s="9" t="s">
        <v>38</v>
      </c>
      <c r="D12" s="9">
        <v>1500</v>
      </c>
      <c r="E12" s="10">
        <f>'Marzec26 - wydatki'!$D12-'Marzec26 - wydatki'!$F12</f>
        <v>0</v>
      </c>
      <c r="F12" s="5">
        <v>1500</v>
      </c>
      <c r="G12" s="2"/>
      <c r="H12" s="8">
        <v>20</v>
      </c>
      <c r="I12" s="9" t="s">
        <v>39</v>
      </c>
      <c r="J12" s="9">
        <v>100</v>
      </c>
      <c r="K12" s="2"/>
      <c r="L12" s="5"/>
      <c r="O12" s="1" t="s">
        <v>33</v>
      </c>
      <c r="P12" s="1">
        <v>500</v>
      </c>
      <c r="Q12" s="1" t="s">
        <v>83</v>
      </c>
    </row>
    <row r="13" spans="1:20" x14ac:dyDescent="0.25">
      <c r="B13" s="8">
        <v>27</v>
      </c>
      <c r="C13" s="9" t="s">
        <v>40</v>
      </c>
      <c r="D13" s="9">
        <v>500</v>
      </c>
      <c r="E13" s="10">
        <f>D13-F13</f>
        <v>0</v>
      </c>
      <c r="F13" s="5">
        <f>230+18+250+2</f>
        <v>500</v>
      </c>
      <c r="G13" s="2"/>
      <c r="H13" s="8">
        <v>22</v>
      </c>
      <c r="I13" s="9" t="s">
        <v>36</v>
      </c>
      <c r="J13" s="9">
        <v>50</v>
      </c>
      <c r="K13" s="2"/>
      <c r="L13" s="5"/>
    </row>
    <row r="14" spans="1:20" x14ac:dyDescent="0.25">
      <c r="B14" s="13"/>
      <c r="C14" s="14" t="s">
        <v>41</v>
      </c>
      <c r="D14" s="14">
        <f t="shared" ref="D14:E14" si="3">SUM(D4:D13)</f>
        <v>4685</v>
      </c>
      <c r="E14" s="15">
        <f t="shared" si="3"/>
        <v>0.38999999999998636</v>
      </c>
      <c r="F14" s="16"/>
      <c r="G14" s="2"/>
      <c r="H14" s="8">
        <v>23</v>
      </c>
      <c r="I14" s="9" t="s">
        <v>42</v>
      </c>
      <c r="J14" s="9">
        <v>350</v>
      </c>
      <c r="K14" s="2"/>
      <c r="L14" s="5"/>
      <c r="N14" s="1" t="s">
        <v>43</v>
      </c>
      <c r="P14" s="1">
        <v>2000</v>
      </c>
      <c r="Q14" s="1" t="s">
        <v>32</v>
      </c>
    </row>
    <row r="15" spans="1:20" x14ac:dyDescent="0.25">
      <c r="G15" s="2"/>
      <c r="H15" s="8">
        <v>25</v>
      </c>
      <c r="I15" s="9" t="s">
        <v>44</v>
      </c>
      <c r="J15" s="9">
        <v>50</v>
      </c>
      <c r="K15" s="2"/>
      <c r="L15" s="5"/>
    </row>
    <row r="16" spans="1:20" x14ac:dyDescent="0.25">
      <c r="B16" s="98" t="s">
        <v>45</v>
      </c>
      <c r="C16" s="96"/>
      <c r="D16" s="96"/>
      <c r="E16" s="96"/>
      <c r="F16" s="97"/>
      <c r="G16" s="2"/>
      <c r="H16" s="8">
        <v>28</v>
      </c>
      <c r="I16" s="9" t="s">
        <v>46</v>
      </c>
      <c r="J16" s="9">
        <v>500</v>
      </c>
      <c r="K16" s="2"/>
      <c r="L16" s="5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6188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x14ac:dyDescent="0.25">
      <c r="B18" s="17"/>
      <c r="C18" s="1" t="s">
        <v>47</v>
      </c>
      <c r="D18" s="9">
        <v>500</v>
      </c>
      <c r="E18" s="18">
        <f>'Marzec26 - wydatki'!$D18-F18</f>
        <v>0</v>
      </c>
      <c r="F18" s="5">
        <v>500</v>
      </c>
    </row>
    <row r="19" spans="2:21" x14ac:dyDescent="0.25">
      <c r="B19" s="19"/>
      <c r="C19" s="9" t="s">
        <v>48</v>
      </c>
      <c r="D19" s="9">
        <v>400</v>
      </c>
      <c r="E19" s="18">
        <f>'Marzec26 - wydatki'!$D19-F19</f>
        <v>0</v>
      </c>
      <c r="F19" s="5">
        <v>400</v>
      </c>
      <c r="H19" s="95" t="s">
        <v>49</v>
      </c>
      <c r="I19" s="96"/>
      <c r="J19" s="96"/>
      <c r="K19" s="96"/>
      <c r="L19" s="97"/>
    </row>
    <row r="20" spans="2:21" x14ac:dyDescent="0.25">
      <c r="B20" s="19"/>
      <c r="C20" s="9" t="s">
        <v>50</v>
      </c>
      <c r="D20" s="9"/>
      <c r="E20" s="18">
        <f>'Marzec26 - wydatki'!$D20-F20</f>
        <v>0</v>
      </c>
      <c r="F20" s="5"/>
      <c r="H20" s="4"/>
      <c r="I20" s="2" t="s">
        <v>10</v>
      </c>
      <c r="J20" s="2" t="s">
        <v>11</v>
      </c>
      <c r="K20" s="2" t="s">
        <v>12</v>
      </c>
      <c r="L20" s="5" t="s">
        <v>13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900</v>
      </c>
      <c r="E21" s="20">
        <f t="shared" si="5"/>
        <v>0</v>
      </c>
      <c r="F21" s="16">
        <f t="shared" si="5"/>
        <v>900</v>
      </c>
      <c r="H21" s="8">
        <v>6</v>
      </c>
      <c r="I21" s="2" t="s">
        <v>51</v>
      </c>
      <c r="J21" s="9">
        <v>1178</v>
      </c>
      <c r="K21" s="2"/>
      <c r="L21" s="5"/>
      <c r="P21" s="1"/>
      <c r="Q21" s="1"/>
      <c r="R21" s="1"/>
      <c r="S21" s="1"/>
    </row>
    <row r="22" spans="2:21" ht="15.75" customHeight="1" x14ac:dyDescent="0.25">
      <c r="H22" s="8">
        <v>15</v>
      </c>
      <c r="I22" s="2" t="s">
        <v>52</v>
      </c>
      <c r="J22" s="9">
        <v>200</v>
      </c>
      <c r="K22" s="2"/>
      <c r="L22" s="5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8">
        <v>16</v>
      </c>
      <c r="I23" s="2" t="s">
        <v>54</v>
      </c>
      <c r="J23" s="9">
        <v>100</v>
      </c>
      <c r="K23" s="2"/>
      <c r="L23" s="5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19"/>
      <c r="I24" s="2" t="s">
        <v>55</v>
      </c>
      <c r="J24" s="9">
        <v>100</v>
      </c>
      <c r="K24" s="2"/>
      <c r="L24" s="5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f>10+10+10+20</f>
        <v>50</v>
      </c>
      <c r="H25" s="19"/>
      <c r="I25" s="2" t="s">
        <v>57</v>
      </c>
      <c r="J25" s="9">
        <v>50</v>
      </c>
      <c r="K25" s="2"/>
      <c r="L25" s="5"/>
    </row>
    <row r="26" spans="2:21" ht="15.75" customHeight="1" x14ac:dyDescent="0.25">
      <c r="B26" s="19"/>
      <c r="C26" s="9" t="s">
        <v>58</v>
      </c>
      <c r="D26" s="9"/>
      <c r="E26" s="21">
        <f t="shared" si="6"/>
        <v>0</v>
      </c>
      <c r="F26" s="5"/>
      <c r="H26" s="8">
        <v>21</v>
      </c>
      <c r="I26" s="2" t="s">
        <v>59</v>
      </c>
      <c r="J26" s="9">
        <v>400</v>
      </c>
      <c r="K26" s="2"/>
      <c r="L26" s="5"/>
      <c r="S26" s="1"/>
      <c r="T26" s="1"/>
    </row>
    <row r="27" spans="2:21" ht="15.75" customHeight="1" x14ac:dyDescent="0.25">
      <c r="B27" s="19"/>
      <c r="C27" s="9" t="s">
        <v>60</v>
      </c>
      <c r="D27" s="9"/>
      <c r="E27" s="21">
        <f t="shared" si="6"/>
        <v>0</v>
      </c>
      <c r="F27" s="5"/>
      <c r="H27" s="8">
        <v>25</v>
      </c>
      <c r="I27" s="2" t="s">
        <v>61</v>
      </c>
      <c r="J27" s="9">
        <v>462</v>
      </c>
      <c r="K27" s="2"/>
      <c r="L27" s="5"/>
      <c r="S27" s="1"/>
      <c r="T27" s="1"/>
      <c r="U27" s="1"/>
    </row>
    <row r="28" spans="2:21" ht="15.75" customHeight="1" x14ac:dyDescent="0.25">
      <c r="B28" s="22">
        <v>23</v>
      </c>
      <c r="C28" s="9" t="s">
        <v>62</v>
      </c>
      <c r="D28" s="9">
        <v>90</v>
      </c>
      <c r="E28" s="21">
        <f t="shared" si="6"/>
        <v>0</v>
      </c>
      <c r="F28" s="23">
        <v>90</v>
      </c>
      <c r="H28" s="22">
        <v>31</v>
      </c>
      <c r="I28" s="2" t="s">
        <v>63</v>
      </c>
      <c r="J28" s="9">
        <v>100</v>
      </c>
      <c r="K28" s="2"/>
      <c r="L28" s="23"/>
    </row>
    <row r="29" spans="2:21" ht="15.75" customHeight="1" x14ac:dyDescent="0.25">
      <c r="B29" s="19"/>
      <c r="C29" s="9" t="s">
        <v>64</v>
      </c>
      <c r="D29" s="9">
        <v>300</v>
      </c>
      <c r="E29" s="21">
        <f t="shared" si="6"/>
        <v>0</v>
      </c>
      <c r="F29" s="5">
        <v>300</v>
      </c>
      <c r="H29" s="13"/>
      <c r="I29" s="14" t="s">
        <v>41</v>
      </c>
      <c r="J29" s="14">
        <f>SUM(J21:J28)</f>
        <v>2590</v>
      </c>
      <c r="K29" s="14">
        <f t="shared" ref="K29:L29" si="7">SUM(K21:K27)</f>
        <v>0</v>
      </c>
      <c r="L29" s="16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9" t="s">
        <v>18</v>
      </c>
      <c r="D32" s="9"/>
      <c r="E32" s="21">
        <f t="shared" si="6"/>
        <v>0</v>
      </c>
      <c r="F32" s="23"/>
      <c r="H32" s="4"/>
      <c r="I32" s="2" t="s">
        <v>10</v>
      </c>
      <c r="J32" s="2" t="s">
        <v>11</v>
      </c>
      <c r="K32" s="2" t="s">
        <v>12</v>
      </c>
      <c r="L32" s="5" t="s">
        <v>13</v>
      </c>
    </row>
    <row r="33" spans="2:12" ht="15.75" customHeight="1" x14ac:dyDescent="0.25">
      <c r="B33" s="19">
        <v>30</v>
      </c>
      <c r="C33" s="9" t="s">
        <v>68</v>
      </c>
      <c r="D33" s="9"/>
      <c r="E33" s="21">
        <f t="shared" si="6"/>
        <v>0</v>
      </c>
      <c r="F33" s="5"/>
      <c r="H33" s="8">
        <v>22</v>
      </c>
      <c r="I33" s="2" t="s">
        <v>69</v>
      </c>
      <c r="J33" s="9">
        <v>94</v>
      </c>
      <c r="K33" s="2"/>
      <c r="L33" s="5"/>
    </row>
    <row r="34" spans="2:12" ht="15.75" customHeight="1" x14ac:dyDescent="0.25">
      <c r="B34" s="17"/>
      <c r="C34" s="1" t="s">
        <v>70</v>
      </c>
      <c r="D34" s="1"/>
      <c r="E34" s="21">
        <f t="shared" si="6"/>
        <v>0</v>
      </c>
      <c r="F34" s="23"/>
      <c r="H34" s="19"/>
      <c r="I34" s="2" t="s">
        <v>71</v>
      </c>
      <c r="J34" s="9">
        <v>350</v>
      </c>
      <c r="K34" s="2"/>
      <c r="L34" s="5"/>
    </row>
    <row r="35" spans="2:12" ht="15.75" customHeight="1" x14ac:dyDescent="0.25">
      <c r="B35" s="24"/>
      <c r="C35" s="25" t="s">
        <v>41</v>
      </c>
      <c r="D35" s="25">
        <f t="shared" ref="D35:F35" si="8">SUM(D25:D34)</f>
        <v>440</v>
      </c>
      <c r="E35" s="26">
        <f t="shared" si="8"/>
        <v>0</v>
      </c>
      <c r="F35" s="27">
        <f t="shared" si="8"/>
        <v>440</v>
      </c>
      <c r="H35" s="8">
        <v>24</v>
      </c>
      <c r="I35" s="2" t="s">
        <v>84</v>
      </c>
      <c r="J35" s="9"/>
      <c r="K35" s="2"/>
      <c r="L35" s="5"/>
    </row>
    <row r="36" spans="2:12" ht="15.75" customHeight="1" x14ac:dyDescent="0.25">
      <c r="H36" s="8">
        <v>29</v>
      </c>
      <c r="I36" s="2" t="s">
        <v>73</v>
      </c>
      <c r="J36" s="9"/>
      <c r="K36" s="2"/>
      <c r="L36" s="5"/>
    </row>
    <row r="37" spans="2:12" ht="15.75" customHeight="1" x14ac:dyDescent="0.25">
      <c r="C37" s="1" t="s">
        <v>74</v>
      </c>
      <c r="D37" s="28">
        <f>E35+E21+E14</f>
        <v>0.38999999999998636</v>
      </c>
      <c r="E37" s="28">
        <f>150</f>
        <v>150</v>
      </c>
      <c r="F37" s="1" t="s">
        <v>75</v>
      </c>
      <c r="H37" s="19"/>
      <c r="I37" s="2" t="s">
        <v>76</v>
      </c>
      <c r="J37" s="9">
        <v>99</v>
      </c>
      <c r="K37" s="2"/>
      <c r="L37" s="5"/>
    </row>
    <row r="38" spans="2:12" ht="15.75" customHeight="1" x14ac:dyDescent="0.25">
      <c r="C38" s="1" t="s">
        <v>77</v>
      </c>
      <c r="D38" s="29"/>
      <c r="E38" s="1"/>
      <c r="F38" s="1"/>
      <c r="H38" s="8">
        <v>26</v>
      </c>
      <c r="I38" s="2" t="s">
        <v>78</v>
      </c>
      <c r="J38" s="9"/>
      <c r="K38" s="2"/>
      <c r="L38" s="5"/>
    </row>
    <row r="39" spans="2:12" ht="15.75" customHeight="1" x14ac:dyDescent="0.25">
      <c r="C39" s="1" t="s">
        <v>79</v>
      </c>
      <c r="E39" s="28">
        <f>E37+E38+D37</f>
        <v>150.38999999999999</v>
      </c>
      <c r="H39" s="19"/>
      <c r="I39" s="2" t="s">
        <v>80</v>
      </c>
      <c r="J39" s="9"/>
      <c r="K39" s="2"/>
      <c r="L39" s="5"/>
    </row>
    <row r="40" spans="2:12" ht="15.75" customHeight="1" x14ac:dyDescent="0.25">
      <c r="D40" s="1"/>
      <c r="E40" s="1"/>
      <c r="H40" s="17"/>
      <c r="I40" s="2" t="s">
        <v>81</v>
      </c>
      <c r="J40" s="9"/>
      <c r="K40" s="2"/>
      <c r="L40" s="23"/>
    </row>
    <row r="41" spans="2:12" ht="15.75" customHeight="1" x14ac:dyDescent="0.25">
      <c r="E41" s="28"/>
      <c r="H41" s="13"/>
      <c r="I41" s="14" t="s">
        <v>41</v>
      </c>
      <c r="J41" s="14">
        <f>SUM(J33:J40)</f>
        <v>543</v>
      </c>
      <c r="K41" s="14">
        <f t="shared" ref="K41:L41" si="9">SUM(K33:K39)</f>
        <v>0</v>
      </c>
      <c r="L41" s="16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6025</v>
      </c>
      <c r="J43" s="1">
        <f>J41+J29+J17</f>
        <v>9321</v>
      </c>
      <c r="K43" s="1">
        <f>J43+I43</f>
        <v>15346</v>
      </c>
    </row>
    <row r="44" spans="2:12" ht="15.75" customHeight="1" x14ac:dyDescent="0.25"/>
    <row r="45" spans="2:12" ht="15.75" customHeight="1" x14ac:dyDescent="0.25">
      <c r="D45" s="1" t="s">
        <v>85</v>
      </c>
      <c r="F45" s="1">
        <f>210-30</f>
        <v>180</v>
      </c>
    </row>
    <row r="46" spans="2:12" ht="15.75" customHeight="1" x14ac:dyDescent="0.25">
      <c r="D46" s="1" t="s">
        <v>82</v>
      </c>
      <c r="F46" s="1">
        <v>62</v>
      </c>
    </row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53" priority="1" operator="lessThan">
      <formula>0</formula>
    </cfRule>
    <cfRule type="cellIs" dxfId="52" priority="2" operator="greaterThan">
      <formula>0</formula>
    </cfRule>
    <cfRule type="cellIs" dxfId="51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4"/>
      <c r="I3" s="2" t="s">
        <v>10</v>
      </c>
      <c r="J3" s="2" t="s">
        <v>11</v>
      </c>
      <c r="K3" s="2" t="s">
        <v>12</v>
      </c>
      <c r="L3" s="5" t="s">
        <v>13</v>
      </c>
      <c r="N3" s="2" t="s">
        <v>14</v>
      </c>
      <c r="O3" s="6">
        <v>7025</v>
      </c>
      <c r="P3" s="2">
        <f t="shared" ref="P3:P5" si="0">Q3+R3+S3</f>
        <v>6295</v>
      </c>
      <c r="Q3" s="2">
        <f>D14</f>
        <v>4975</v>
      </c>
      <c r="R3" s="2">
        <f>D21</f>
        <v>500</v>
      </c>
      <c r="S3" s="2">
        <f>D35</f>
        <v>820</v>
      </c>
      <c r="T3" s="7">
        <f t="shared" ref="T3:T4" si="1">O3-P3</f>
        <v>730</v>
      </c>
    </row>
    <row r="4" spans="1:20" x14ac:dyDescent="0.25">
      <c r="B4" s="8">
        <v>2</v>
      </c>
      <c r="C4" s="9" t="s">
        <v>15</v>
      </c>
      <c r="D4" s="9">
        <v>85</v>
      </c>
      <c r="E4" s="10">
        <f>'Luty26 - wydatki'!$D4-'Luty26 - wydatki'!$F4</f>
        <v>0</v>
      </c>
      <c r="F4" s="5">
        <v>85</v>
      </c>
      <c r="G4" s="2"/>
      <c r="H4" s="8">
        <v>1</v>
      </c>
      <c r="I4" s="9" t="s">
        <v>16</v>
      </c>
      <c r="J4" s="9">
        <v>3400</v>
      </c>
      <c r="K4" s="2"/>
      <c r="L4" s="5"/>
      <c r="N4" s="2" t="s">
        <v>17</v>
      </c>
      <c r="O4" s="11">
        <f>7966+250</f>
        <v>8216</v>
      </c>
      <c r="P4" s="2">
        <f t="shared" si="0"/>
        <v>8946</v>
      </c>
      <c r="Q4" s="2">
        <f>J17</f>
        <v>6097</v>
      </c>
      <c r="R4" s="2">
        <f>J29</f>
        <v>1946</v>
      </c>
      <c r="S4" s="2">
        <f>J41</f>
        <v>903</v>
      </c>
      <c r="T4" s="7">
        <f t="shared" si="1"/>
        <v>-730</v>
      </c>
    </row>
    <row r="5" spans="1:20" x14ac:dyDescent="0.25">
      <c r="B5" s="8">
        <v>4</v>
      </c>
      <c r="C5" s="9" t="s">
        <v>18</v>
      </c>
      <c r="D5" s="9">
        <v>40</v>
      </c>
      <c r="E5" s="10">
        <f>'Luty26 - wydatki'!$D5-'Luty26 - wydatki'!$F5</f>
        <v>0</v>
      </c>
      <c r="F5" s="5">
        <v>40</v>
      </c>
      <c r="G5" s="2"/>
      <c r="H5" s="8">
        <v>3</v>
      </c>
      <c r="I5" s="9" t="s">
        <v>19</v>
      </c>
      <c r="J5" s="9">
        <v>140</v>
      </c>
      <c r="K5" s="2"/>
      <c r="L5" s="5"/>
      <c r="N5" s="2" t="s">
        <v>5</v>
      </c>
      <c r="O5" s="2" t="b">
        <f>K43=O3+O4</f>
        <v>1</v>
      </c>
      <c r="P5" s="2">
        <f t="shared" si="0"/>
        <v>15241</v>
      </c>
      <c r="Q5" s="2">
        <f t="shared" ref="Q5:S5" si="2">Q3+Q4</f>
        <v>11072</v>
      </c>
      <c r="R5" s="2">
        <f t="shared" si="2"/>
        <v>2446</v>
      </c>
      <c r="S5" s="2">
        <f t="shared" si="2"/>
        <v>1723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'Luty26 - wydatki'!$D6-'Luty26 - wydatki'!$F6</f>
        <v>0</v>
      </c>
      <c r="F6" s="5">
        <f>208+92+60+104+314+20+2</f>
        <v>800</v>
      </c>
      <c r="G6" s="2"/>
      <c r="H6" s="8">
        <v>9</v>
      </c>
      <c r="I6" s="9" t="s">
        <v>21</v>
      </c>
      <c r="J6" s="9">
        <v>800</v>
      </c>
      <c r="K6" s="2"/>
      <c r="L6" s="5"/>
    </row>
    <row r="7" spans="1:20" x14ac:dyDescent="0.25">
      <c r="B7" s="8">
        <v>8</v>
      </c>
      <c r="C7" s="9" t="s">
        <v>21</v>
      </c>
      <c r="D7" s="9">
        <v>800</v>
      </c>
      <c r="E7" s="10">
        <f>'Luty26 - wydatki'!$D7-'Luty26 - wydatki'!$F7</f>
        <v>0</v>
      </c>
      <c r="F7" s="5">
        <f>196+8+4+16.93+22.77+13.48+77.39+7.65+1.1+9.75+68.35+3.4+33.92-20+54.74+34.58+26.87+209.8+36.01+31.61+37.56-74+0.09</f>
        <v>800.00000000000011</v>
      </c>
      <c r="G7" s="2"/>
      <c r="H7" s="8">
        <v>11</v>
      </c>
      <c r="I7" s="9" t="s">
        <v>22</v>
      </c>
      <c r="J7" s="9">
        <f>140+52</f>
        <v>192</v>
      </c>
      <c r="K7" s="2"/>
      <c r="L7" s="5"/>
      <c r="N7" s="1" t="s">
        <v>23</v>
      </c>
    </row>
    <row r="8" spans="1:20" x14ac:dyDescent="0.25">
      <c r="B8" s="8">
        <v>5</v>
      </c>
      <c r="C8" s="9" t="s">
        <v>24</v>
      </c>
      <c r="D8" s="9">
        <f>350+250</f>
        <v>600</v>
      </c>
      <c r="E8" s="10">
        <f>'Luty26 - wydatki'!$D8-F8</f>
        <v>0</v>
      </c>
      <c r="F8" s="5">
        <v>600</v>
      </c>
      <c r="G8" s="2"/>
      <c r="H8" s="8">
        <v>12</v>
      </c>
      <c r="I8" s="9" t="s">
        <v>25</v>
      </c>
      <c r="J8" s="9">
        <v>65</v>
      </c>
      <c r="K8" s="2"/>
      <c r="L8" s="5"/>
      <c r="N8" s="1" t="s">
        <v>26</v>
      </c>
      <c r="O8" s="1" t="s">
        <v>27</v>
      </c>
      <c r="P8" s="1">
        <f>4230+261+318-1650+300-223+300-250+250+228+453+350-332-350+358-120+500-200+400-60-2400</f>
        <v>2363</v>
      </c>
      <c r="Q8" s="1" t="s">
        <v>28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'Luty26 - wydatki'!$D9-'Luty26 - wydatki'!$F9</f>
        <v>0</v>
      </c>
      <c r="F9" s="5">
        <f>12+10+10+10+5+16+9+28</f>
        <v>100</v>
      </c>
      <c r="G9" s="2"/>
      <c r="H9" s="8">
        <v>13</v>
      </c>
      <c r="I9" s="9" t="s">
        <v>30</v>
      </c>
      <c r="J9" s="9">
        <v>300</v>
      </c>
      <c r="K9" s="2"/>
      <c r="L9" s="5"/>
      <c r="O9" s="1" t="s">
        <v>31</v>
      </c>
      <c r="P9" s="1">
        <f>6660+1230+100+10+1000+1000+1000+1000+1500+1500+1500-15000</f>
        <v>1500</v>
      </c>
      <c r="Q9" s="1" t="s">
        <v>28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'Luty26 - wydatki'!$D10-'Luty26 - wydatki'!$F10</f>
        <v>0</v>
      </c>
      <c r="F10" s="5">
        <v>500</v>
      </c>
      <c r="G10" s="2"/>
      <c r="H10" s="8">
        <v>17</v>
      </c>
      <c r="I10" s="9" t="s">
        <v>34</v>
      </c>
      <c r="J10" s="9">
        <v>50</v>
      </c>
      <c r="K10" s="2"/>
      <c r="L10" s="5"/>
      <c r="O10" s="1" t="s">
        <v>35</v>
      </c>
      <c r="P10" s="1">
        <f>127+100+152+173+163+150+65-178-300-230</f>
        <v>222</v>
      </c>
      <c r="Q10" s="1" t="s">
        <v>86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'Luty26 - wydatki'!$D11-'Luty26 - wydatki'!$F11</f>
        <v>0</v>
      </c>
      <c r="F11" s="5">
        <v>50</v>
      </c>
      <c r="G11" s="2"/>
      <c r="H11" s="8">
        <v>18</v>
      </c>
      <c r="I11" s="9" t="s">
        <v>37</v>
      </c>
      <c r="J11" s="9">
        <v>100</v>
      </c>
      <c r="K11" s="2"/>
      <c r="L11" s="5"/>
      <c r="P11" s="1">
        <f>P8+P9+P10</f>
        <v>4085</v>
      </c>
    </row>
    <row r="12" spans="1:20" x14ac:dyDescent="0.25">
      <c r="B12" s="8">
        <v>26</v>
      </c>
      <c r="C12" s="9" t="s">
        <v>38</v>
      </c>
      <c r="D12" s="9">
        <v>1500</v>
      </c>
      <c r="E12" s="10">
        <f>'Luty26 - wydatki'!$D12-'Luty26 - wydatki'!$F12</f>
        <v>0</v>
      </c>
      <c r="F12" s="5">
        <v>1500</v>
      </c>
      <c r="G12" s="2"/>
      <c r="H12" s="8">
        <v>20</v>
      </c>
      <c r="I12" s="9" t="s">
        <v>39</v>
      </c>
      <c r="J12" s="9">
        <v>100</v>
      </c>
      <c r="K12" s="2"/>
      <c r="L12" s="5"/>
      <c r="O12" s="1" t="s">
        <v>33</v>
      </c>
      <c r="P12" s="1">
        <v>500</v>
      </c>
      <c r="Q12" s="1" t="s">
        <v>83</v>
      </c>
    </row>
    <row r="13" spans="1:20" x14ac:dyDescent="0.25">
      <c r="B13" s="8">
        <v>27</v>
      </c>
      <c r="C13" s="9" t="s">
        <v>40</v>
      </c>
      <c r="D13" s="9">
        <v>500</v>
      </c>
      <c r="E13" s="10">
        <f>D13-F13</f>
        <v>0</v>
      </c>
      <c r="F13" s="5">
        <f>125+80+189+50+22+104+90-160</f>
        <v>500</v>
      </c>
      <c r="G13" s="2"/>
      <c r="H13" s="8">
        <v>22</v>
      </c>
      <c r="I13" s="9" t="s">
        <v>36</v>
      </c>
      <c r="J13" s="9">
        <v>50</v>
      </c>
      <c r="K13" s="2"/>
      <c r="L13" s="5"/>
    </row>
    <row r="14" spans="1:20" x14ac:dyDescent="0.25">
      <c r="B14" s="13"/>
      <c r="C14" s="14" t="s">
        <v>41</v>
      </c>
      <c r="D14" s="14">
        <f t="shared" ref="D14:E14" si="3">SUM(D4:D13)</f>
        <v>4975</v>
      </c>
      <c r="E14" s="15">
        <f t="shared" si="3"/>
        <v>0</v>
      </c>
      <c r="F14" s="16"/>
      <c r="G14" s="2"/>
      <c r="H14" s="8">
        <v>23</v>
      </c>
      <c r="I14" s="9" t="s">
        <v>42</v>
      </c>
      <c r="J14" s="9">
        <v>350</v>
      </c>
      <c r="K14" s="2"/>
      <c r="L14" s="5"/>
    </row>
    <row r="15" spans="1:20" x14ac:dyDescent="0.25">
      <c r="G15" s="2"/>
      <c r="H15" s="8">
        <v>25</v>
      </c>
      <c r="I15" s="9" t="s">
        <v>44</v>
      </c>
      <c r="J15" s="9">
        <v>50</v>
      </c>
      <c r="K15" s="2"/>
      <c r="L15" s="5"/>
    </row>
    <row r="16" spans="1:20" x14ac:dyDescent="0.25">
      <c r="B16" s="98" t="s">
        <v>45</v>
      </c>
      <c r="C16" s="96"/>
      <c r="D16" s="96"/>
      <c r="E16" s="96"/>
      <c r="F16" s="97"/>
      <c r="G16" s="2"/>
      <c r="H16" s="8">
        <v>28</v>
      </c>
      <c r="I16" s="9" t="s">
        <v>46</v>
      </c>
      <c r="J16" s="9">
        <v>500</v>
      </c>
      <c r="K16" s="2"/>
      <c r="L16" s="5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6097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x14ac:dyDescent="0.25">
      <c r="B18" s="17"/>
      <c r="C18" s="1" t="s">
        <v>47</v>
      </c>
      <c r="D18" s="9">
        <v>500</v>
      </c>
      <c r="E18" s="18">
        <f>'Luty26 - wydatki'!$D18-F18</f>
        <v>0</v>
      </c>
      <c r="F18" s="5">
        <v>500</v>
      </c>
    </row>
    <row r="19" spans="2:21" x14ac:dyDescent="0.25">
      <c r="B19" s="19"/>
      <c r="C19" s="9" t="s">
        <v>48</v>
      </c>
      <c r="D19" s="9"/>
      <c r="E19" s="18">
        <f>'Luty26 - wydatki'!$D19-F19</f>
        <v>0</v>
      </c>
      <c r="F19" s="5"/>
      <c r="H19" s="95" t="s">
        <v>49</v>
      </c>
      <c r="I19" s="96"/>
      <c r="J19" s="96"/>
      <c r="K19" s="96"/>
      <c r="L19" s="97"/>
    </row>
    <row r="20" spans="2:21" x14ac:dyDescent="0.25">
      <c r="B20" s="19"/>
      <c r="C20" s="9" t="s">
        <v>50</v>
      </c>
      <c r="D20" s="9"/>
      <c r="E20" s="18">
        <f>'Luty26 - wydatki'!$D20-F20</f>
        <v>0</v>
      </c>
      <c r="F20" s="5"/>
      <c r="H20" s="4"/>
      <c r="I20" s="2" t="s">
        <v>10</v>
      </c>
      <c r="J20" s="2" t="s">
        <v>11</v>
      </c>
      <c r="K20" s="2" t="s">
        <v>12</v>
      </c>
      <c r="L20" s="5" t="s">
        <v>13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500</v>
      </c>
      <c r="E21" s="20">
        <f t="shared" si="5"/>
        <v>0</v>
      </c>
      <c r="F21" s="16">
        <f t="shared" si="5"/>
        <v>500</v>
      </c>
      <c r="H21" s="8">
        <v>6</v>
      </c>
      <c r="I21" s="2" t="s">
        <v>51</v>
      </c>
      <c r="J21" s="9">
        <v>1096</v>
      </c>
      <c r="K21" s="2"/>
      <c r="L21" s="5"/>
      <c r="P21" s="1"/>
      <c r="Q21" s="1"/>
      <c r="R21" s="1"/>
      <c r="S21" s="1"/>
    </row>
    <row r="22" spans="2:21" ht="15.75" customHeight="1" x14ac:dyDescent="0.25">
      <c r="H22" s="8">
        <v>15</v>
      </c>
      <c r="I22" s="2" t="s">
        <v>52</v>
      </c>
      <c r="J22" s="9">
        <v>200</v>
      </c>
      <c r="K22" s="2"/>
      <c r="L22" s="5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8">
        <v>16</v>
      </c>
      <c r="I23" s="2" t="s">
        <v>54</v>
      </c>
      <c r="J23" s="9">
        <v>100</v>
      </c>
      <c r="K23" s="2"/>
      <c r="L23" s="5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19"/>
      <c r="I24" s="2" t="s">
        <v>55</v>
      </c>
      <c r="J24" s="9">
        <v>100</v>
      </c>
      <c r="K24" s="2"/>
      <c r="L24" s="5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f>20+30</f>
        <v>50</v>
      </c>
      <c r="H25" s="19"/>
      <c r="I25" s="2" t="s">
        <v>57</v>
      </c>
      <c r="J25" s="9">
        <v>50</v>
      </c>
      <c r="K25" s="2"/>
      <c r="L25" s="5"/>
    </row>
    <row r="26" spans="2:21" ht="15.75" customHeight="1" x14ac:dyDescent="0.25">
      <c r="B26" s="19"/>
      <c r="C26" s="9" t="s">
        <v>58</v>
      </c>
      <c r="D26" s="9"/>
      <c r="E26" s="21">
        <f t="shared" si="6"/>
        <v>0</v>
      </c>
      <c r="F26" s="5"/>
      <c r="H26" s="8">
        <v>21</v>
      </c>
      <c r="I26" s="2" t="s">
        <v>59</v>
      </c>
      <c r="J26" s="9"/>
      <c r="K26" s="2"/>
      <c r="L26" s="5"/>
      <c r="S26" s="1"/>
      <c r="T26" s="1"/>
    </row>
    <row r="27" spans="2:21" ht="15.75" customHeight="1" x14ac:dyDescent="0.25">
      <c r="B27" s="19"/>
      <c r="C27" s="9" t="s">
        <v>60</v>
      </c>
      <c r="D27" s="9"/>
      <c r="E27" s="21">
        <f t="shared" si="6"/>
        <v>0</v>
      </c>
      <c r="F27" s="5"/>
      <c r="H27" s="8">
        <v>25</v>
      </c>
      <c r="I27" s="2" t="s">
        <v>61</v>
      </c>
      <c r="J27" s="9">
        <v>300</v>
      </c>
      <c r="K27" s="2"/>
      <c r="L27" s="5"/>
      <c r="S27" s="1"/>
      <c r="T27" s="1"/>
      <c r="U27" s="1"/>
    </row>
    <row r="28" spans="2:21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22">
        <v>31</v>
      </c>
      <c r="I28" s="2" t="s">
        <v>63</v>
      </c>
      <c r="J28" s="9">
        <v>100</v>
      </c>
      <c r="K28" s="2"/>
      <c r="L28" s="23"/>
    </row>
    <row r="29" spans="2:21" ht="15.75" customHeight="1" x14ac:dyDescent="0.25">
      <c r="B29" s="19"/>
      <c r="C29" s="9" t="s">
        <v>64</v>
      </c>
      <c r="D29" s="9">
        <v>300</v>
      </c>
      <c r="E29" s="21">
        <f t="shared" si="6"/>
        <v>0</v>
      </c>
      <c r="F29" s="5">
        <v>300</v>
      </c>
      <c r="H29" s="13"/>
      <c r="I29" s="14" t="s">
        <v>41</v>
      </c>
      <c r="J29" s="14">
        <f>SUM(J21:J28)</f>
        <v>1946</v>
      </c>
      <c r="K29" s="14">
        <f t="shared" ref="K29:L29" si="7">SUM(K21:K27)</f>
        <v>0</v>
      </c>
      <c r="L29" s="16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9" t="s">
        <v>18</v>
      </c>
      <c r="D32" s="9">
        <v>400</v>
      </c>
      <c r="E32" s="21">
        <f t="shared" si="6"/>
        <v>400</v>
      </c>
      <c r="F32" s="23"/>
      <c r="H32" s="4"/>
      <c r="I32" s="2" t="s">
        <v>10</v>
      </c>
      <c r="J32" s="2" t="s">
        <v>11</v>
      </c>
      <c r="K32" s="2" t="s">
        <v>12</v>
      </c>
      <c r="L32" s="5" t="s">
        <v>13</v>
      </c>
    </row>
    <row r="33" spans="2:12" ht="15.75" customHeight="1" x14ac:dyDescent="0.25">
      <c r="B33" s="19">
        <v>30</v>
      </c>
      <c r="C33" s="9" t="s">
        <v>68</v>
      </c>
      <c r="D33" s="9">
        <v>70</v>
      </c>
      <c r="E33" s="21">
        <f t="shared" si="6"/>
        <v>0</v>
      </c>
      <c r="F33" s="5">
        <v>70</v>
      </c>
      <c r="H33" s="8">
        <v>22</v>
      </c>
      <c r="I33" s="2" t="s">
        <v>69</v>
      </c>
      <c r="J33" s="9">
        <v>55</v>
      </c>
      <c r="K33" s="2"/>
      <c r="L33" s="5"/>
    </row>
    <row r="34" spans="2:12" ht="15.75" customHeight="1" x14ac:dyDescent="0.25">
      <c r="B34" s="17"/>
      <c r="C34" s="1" t="s">
        <v>70</v>
      </c>
      <c r="D34" s="1"/>
      <c r="E34" s="21">
        <f t="shared" si="6"/>
        <v>0</v>
      </c>
      <c r="F34" s="23"/>
      <c r="H34" s="19"/>
      <c r="I34" s="2" t="s">
        <v>71</v>
      </c>
      <c r="J34" s="9">
        <v>350</v>
      </c>
      <c r="K34" s="2"/>
      <c r="L34" s="5"/>
    </row>
    <row r="35" spans="2:12" ht="15.75" customHeight="1" x14ac:dyDescent="0.25">
      <c r="B35" s="24"/>
      <c r="C35" s="25" t="s">
        <v>41</v>
      </c>
      <c r="D35" s="25">
        <f t="shared" ref="D35:F35" si="8">SUM(D25:D34)</f>
        <v>820</v>
      </c>
      <c r="E35" s="26">
        <f t="shared" si="8"/>
        <v>400</v>
      </c>
      <c r="F35" s="27">
        <f t="shared" si="8"/>
        <v>420</v>
      </c>
      <c r="H35" s="8">
        <v>24</v>
      </c>
      <c r="I35" s="2" t="s">
        <v>84</v>
      </c>
      <c r="J35" s="9">
        <v>317</v>
      </c>
      <c r="K35" s="2"/>
      <c r="L35" s="5"/>
    </row>
    <row r="36" spans="2:12" ht="15.75" customHeight="1" x14ac:dyDescent="0.25">
      <c r="H36" s="8">
        <v>29</v>
      </c>
      <c r="I36" s="2" t="s">
        <v>73</v>
      </c>
      <c r="J36" s="9"/>
      <c r="K36" s="2"/>
      <c r="L36" s="5"/>
    </row>
    <row r="37" spans="2:12" ht="15.75" customHeight="1" x14ac:dyDescent="0.25">
      <c r="C37" s="1" t="s">
        <v>87</v>
      </c>
      <c r="D37" s="28">
        <f>E35+E21+E14</f>
        <v>400</v>
      </c>
      <c r="E37" s="28">
        <v>150</v>
      </c>
      <c r="H37" s="19"/>
      <c r="I37" s="2" t="s">
        <v>88</v>
      </c>
      <c r="J37" s="9">
        <v>59</v>
      </c>
      <c r="K37" s="2"/>
      <c r="L37" s="5"/>
    </row>
    <row r="38" spans="2:12" ht="15.75" customHeight="1" x14ac:dyDescent="0.25">
      <c r="C38" s="1" t="s">
        <v>77</v>
      </c>
      <c r="D38" s="29"/>
      <c r="E38" s="1"/>
      <c r="F38" s="1"/>
      <c r="H38" s="8">
        <v>26</v>
      </c>
      <c r="I38" s="2" t="s">
        <v>78</v>
      </c>
      <c r="J38" s="9">
        <v>55</v>
      </c>
      <c r="K38" s="2"/>
      <c r="L38" s="5"/>
    </row>
    <row r="39" spans="2:12" ht="15.75" customHeight="1" x14ac:dyDescent="0.25">
      <c r="C39" s="1" t="s">
        <v>79</v>
      </c>
      <c r="E39" s="28">
        <f>E37+E38+D37</f>
        <v>550</v>
      </c>
      <c r="H39" s="19"/>
      <c r="I39" s="2" t="s">
        <v>80</v>
      </c>
      <c r="J39" s="9">
        <v>24</v>
      </c>
      <c r="K39" s="2"/>
      <c r="L39" s="5"/>
    </row>
    <row r="40" spans="2:12" ht="15.75" customHeight="1" x14ac:dyDescent="0.25">
      <c r="D40" s="1"/>
      <c r="E40" s="1"/>
      <c r="H40" s="17"/>
      <c r="I40" s="2" t="s">
        <v>81</v>
      </c>
      <c r="J40" s="9">
        <v>43</v>
      </c>
      <c r="K40" s="2"/>
      <c r="L40" s="23"/>
    </row>
    <row r="41" spans="2:12" ht="15.75" customHeight="1" x14ac:dyDescent="0.25">
      <c r="E41" s="28"/>
      <c r="H41" s="13"/>
      <c r="I41" s="14" t="s">
        <v>41</v>
      </c>
      <c r="J41" s="14">
        <f>SUM(J33:J40)</f>
        <v>903</v>
      </c>
      <c r="K41" s="14">
        <f t="shared" ref="K41:L41" si="9">SUM(K33:K39)</f>
        <v>0</v>
      </c>
      <c r="L41" s="16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6295</v>
      </c>
      <c r="J43" s="1">
        <f>J41+J29+J17</f>
        <v>8946</v>
      </c>
      <c r="K43" s="1">
        <f>J43+I43</f>
        <v>15241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50" priority="1" operator="lessThan">
      <formula>0</formula>
    </cfRule>
    <cfRule type="cellIs" dxfId="49" priority="2" operator="greaterThan">
      <formula>0</formula>
    </cfRule>
    <cfRule type="cellIs" dxfId="48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7260</v>
      </c>
      <c r="P3" s="2">
        <f t="shared" ref="P3:P5" si="0">Q3+R3+S3</f>
        <v>6204</v>
      </c>
      <c r="Q3" s="2">
        <f>D14</f>
        <v>4655</v>
      </c>
      <c r="R3" s="2">
        <f>D21</f>
        <v>900</v>
      </c>
      <c r="S3" s="2">
        <f>D35</f>
        <v>649</v>
      </c>
      <c r="T3" s="7">
        <f t="shared" ref="T3:T4" si="1">O3-P3</f>
        <v>1056</v>
      </c>
    </row>
    <row r="4" spans="1:20" x14ac:dyDescent="0.25">
      <c r="B4" s="8">
        <v>2</v>
      </c>
      <c r="C4" s="9" t="s">
        <v>15</v>
      </c>
      <c r="D4" s="9">
        <v>85</v>
      </c>
      <c r="E4" s="10">
        <f>'Styczeń26 - wydatki'!$D4-'Styczeń26 -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v>7966</v>
      </c>
      <c r="P4" s="2">
        <f t="shared" si="0"/>
        <v>9022</v>
      </c>
      <c r="Q4" s="2">
        <f>J17</f>
        <v>6045</v>
      </c>
      <c r="R4" s="2">
        <f>J29</f>
        <v>2427</v>
      </c>
      <c r="S4" s="2">
        <f>J41</f>
        <v>550</v>
      </c>
      <c r="T4" s="7">
        <f t="shared" si="1"/>
        <v>-1056</v>
      </c>
    </row>
    <row r="5" spans="1:20" x14ac:dyDescent="0.25">
      <c r="B5" s="8">
        <v>4</v>
      </c>
      <c r="C5" s="9" t="s">
        <v>18</v>
      </c>
      <c r="D5" s="9">
        <v>40</v>
      </c>
      <c r="E5" s="10">
        <f>'Styczeń26 - wydatki'!$D5-'Styczeń26 - wydatki'!$F5</f>
        <v>0</v>
      </c>
      <c r="F5" s="5"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15226</v>
      </c>
      <c r="Q5" s="2">
        <f t="shared" ref="Q5:S5" si="2">Q3+Q4</f>
        <v>10700</v>
      </c>
      <c r="R5" s="2">
        <f t="shared" si="2"/>
        <v>3327</v>
      </c>
      <c r="S5" s="2">
        <f t="shared" si="2"/>
        <v>1199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'Styczeń26 - wydatki'!$D6-'Styczeń26 - wydatki'!$F6</f>
        <v>0</v>
      </c>
      <c r="F6" s="5">
        <f>200+200+337+63</f>
        <v>800</v>
      </c>
      <c r="G6" s="2"/>
      <c r="H6" s="31">
        <v>9</v>
      </c>
      <c r="I6" s="9" t="s">
        <v>21</v>
      </c>
      <c r="J6" s="9">
        <v>800</v>
      </c>
      <c r="K6" s="2"/>
      <c r="L6" s="2"/>
    </row>
    <row r="7" spans="1:20" x14ac:dyDescent="0.25">
      <c r="B7" s="8">
        <v>8</v>
      </c>
      <c r="C7" s="9" t="s">
        <v>21</v>
      </c>
      <c r="D7" s="9">
        <v>800</v>
      </c>
      <c r="E7" s="10">
        <f>'Styczeń26 - wydatki'!$D7-'Styczeń26 - wydatki'!$F7</f>
        <v>0</v>
      </c>
      <c r="F7" s="5">
        <f>128+34.69+6.84+1.52+35.05+62.27+63.64+106.23+11.58+107.67+191.07+54.14+19.94+84.94+30.85-138.43</f>
        <v>800</v>
      </c>
      <c r="G7" s="2"/>
      <c r="H7" s="31">
        <v>11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'Styczeń26 - wydatki'!$D8-F8</f>
        <v>0</v>
      </c>
      <c r="F8" s="5">
        <v>300</v>
      </c>
      <c r="G8" s="2"/>
      <c r="H8" s="31">
        <v>12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4230+261+318-1650+300-223+300-250+250+228+453+350-332-350+358-120+500+400</f>
        <v>5023</v>
      </c>
      <c r="Q8" s="1" t="s">
        <v>86</v>
      </c>
      <c r="R8" s="1"/>
    </row>
    <row r="9" spans="1:20" x14ac:dyDescent="0.25">
      <c r="B9" s="8">
        <v>14</v>
      </c>
      <c r="C9" s="9" t="s">
        <v>29</v>
      </c>
      <c r="D9" s="9">
        <v>80</v>
      </c>
      <c r="E9" s="10">
        <f>'Styczeń26 - wydatki'!$D9-'Styczeń26 - wydatki'!$F9</f>
        <v>0</v>
      </c>
      <c r="F9" s="5">
        <f>20+50+10</f>
        <v>80</v>
      </c>
      <c r="G9" s="2"/>
      <c r="H9" s="31">
        <v>13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6660+1230+100+10+1000+1000+1000+1000+1500+1500</f>
        <v>15000</v>
      </c>
      <c r="Q9" s="1" t="s">
        <v>86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'Styczeń26 - wydatki'!$D10-'Styczeń26 - wydatki'!$F10</f>
        <v>0</v>
      </c>
      <c r="F10" s="5">
        <v>500</v>
      </c>
      <c r="G10" s="2"/>
      <c r="H10" s="31">
        <v>17</v>
      </c>
      <c r="I10" s="9" t="s">
        <v>34</v>
      </c>
      <c r="J10" s="9">
        <v>50</v>
      </c>
      <c r="K10" s="2"/>
      <c r="L10" s="2"/>
      <c r="O10" s="1" t="s">
        <v>35</v>
      </c>
      <c r="P10" s="1">
        <f>127+100+152+173+163+150+65-178-300</f>
        <v>452</v>
      </c>
      <c r="Q10" s="1" t="s">
        <v>86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'Styczeń26 - wydatki'!$D11-'Styczeń26 - wydatki'!$F11</f>
        <v>0</v>
      </c>
      <c r="F11" s="5">
        <v>50</v>
      </c>
      <c r="G11" s="2"/>
      <c r="H11" s="31">
        <v>18</v>
      </c>
      <c r="I11" s="9" t="s">
        <v>37</v>
      </c>
      <c r="J11" s="9">
        <v>100</v>
      </c>
      <c r="K11" s="2"/>
      <c r="L11" s="2"/>
      <c r="P11" s="1">
        <f>P8+P9+P10</f>
        <v>20475</v>
      </c>
    </row>
    <row r="12" spans="1:20" x14ac:dyDescent="0.25">
      <c r="B12" s="8">
        <v>26</v>
      </c>
      <c r="C12" s="9" t="s">
        <v>38</v>
      </c>
      <c r="D12" s="9">
        <v>1500</v>
      </c>
      <c r="E12" s="10">
        <f>'Styczeń26 - wydatki'!$D12-'Styczeń26 - wydatki'!$F12</f>
        <v>0</v>
      </c>
      <c r="F12" s="5">
        <v>1500</v>
      </c>
      <c r="G12" s="2"/>
      <c r="H12" s="31">
        <v>20</v>
      </c>
      <c r="I12" s="9" t="s">
        <v>39</v>
      </c>
      <c r="J12" s="9">
        <v>100</v>
      </c>
      <c r="K12" s="2"/>
      <c r="L12" s="2"/>
      <c r="O12" s="1" t="s">
        <v>33</v>
      </c>
      <c r="P12" s="1">
        <v>500</v>
      </c>
      <c r="Q12" s="1" t="s">
        <v>83</v>
      </c>
    </row>
    <row r="13" spans="1:20" x14ac:dyDescent="0.25">
      <c r="B13" s="8">
        <v>27</v>
      </c>
      <c r="C13" s="9" t="s">
        <v>40</v>
      </c>
      <c r="D13" s="9">
        <v>500</v>
      </c>
      <c r="E13" s="10">
        <f>D13-F13</f>
        <v>0</v>
      </c>
      <c r="F13" s="5">
        <v>500</v>
      </c>
      <c r="G13" s="2"/>
      <c r="H13" s="31">
        <v>22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E14" si="3">SUM(D4:D13)</f>
        <v>4655</v>
      </c>
      <c r="E14" s="15">
        <f t="shared" si="3"/>
        <v>0</v>
      </c>
      <c r="F14" s="16"/>
      <c r="G14" s="2"/>
      <c r="H14" s="31">
        <v>23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25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28</v>
      </c>
      <c r="I16" s="9" t="s">
        <v>46</v>
      </c>
      <c r="J16" s="9">
        <v>500</v>
      </c>
      <c r="K16" s="2"/>
      <c r="L16" s="2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6045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x14ac:dyDescent="0.25">
      <c r="B18" s="1"/>
      <c r="C18" s="1" t="s">
        <v>47</v>
      </c>
      <c r="D18" s="9">
        <v>500</v>
      </c>
      <c r="E18" s="18">
        <f>'Styczeń26 - wydatki'!$D18-F18</f>
        <v>0</v>
      </c>
      <c r="F18" s="2">
        <v>500</v>
      </c>
    </row>
    <row r="19" spans="2:21" x14ac:dyDescent="0.25">
      <c r="B19" s="19"/>
      <c r="C19" s="9" t="s">
        <v>48</v>
      </c>
      <c r="D19" s="9">
        <v>400</v>
      </c>
      <c r="E19" s="18">
        <f>'Styczeń26 - wydatki'!$D19-F19</f>
        <v>0</v>
      </c>
      <c r="F19" s="5">
        <v>400</v>
      </c>
      <c r="H19" s="95" t="s">
        <v>49</v>
      </c>
      <c r="I19" s="96"/>
      <c r="J19" s="96"/>
      <c r="K19" s="96"/>
      <c r="L19" s="97"/>
    </row>
    <row r="20" spans="2:21" x14ac:dyDescent="0.25">
      <c r="B20" s="19"/>
      <c r="C20" s="9" t="s">
        <v>50</v>
      </c>
      <c r="D20" s="9"/>
      <c r="E20" s="18">
        <f>'Styczeń26 -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900</v>
      </c>
      <c r="E21" s="20">
        <f t="shared" si="5"/>
        <v>0</v>
      </c>
      <c r="F21" s="16">
        <f t="shared" si="5"/>
        <v>900</v>
      </c>
      <c r="H21" s="31">
        <v>6</v>
      </c>
      <c r="I21" s="2" t="s">
        <v>51</v>
      </c>
      <c r="J21" s="9">
        <v>1077</v>
      </c>
      <c r="K21" s="2"/>
      <c r="L21" s="2"/>
      <c r="P21" s="1"/>
      <c r="Q21" s="1"/>
      <c r="R21" s="1"/>
      <c r="S21" s="1"/>
    </row>
    <row r="22" spans="2:21" ht="15.75" customHeight="1" x14ac:dyDescent="0.25">
      <c r="H22" s="31">
        <v>15</v>
      </c>
      <c r="I22" s="2" t="s">
        <v>52</v>
      </c>
      <c r="J22" s="9">
        <v>200</v>
      </c>
      <c r="K22" s="2"/>
      <c r="L22" s="2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31">
        <v>16</v>
      </c>
      <c r="I23" s="2" t="s">
        <v>54</v>
      </c>
      <c r="J23" s="9">
        <v>100</v>
      </c>
      <c r="K23" s="2"/>
      <c r="L23" s="2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55</v>
      </c>
      <c r="J24" s="9">
        <v>100</v>
      </c>
      <c r="K24" s="2"/>
      <c r="L24" s="2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v>0</v>
      </c>
      <c r="F25" s="5">
        <v>50</v>
      </c>
      <c r="H25" s="9"/>
      <c r="I25" s="2" t="s">
        <v>57</v>
      </c>
      <c r="J25" s="9">
        <v>50</v>
      </c>
      <c r="K25" s="2"/>
      <c r="L25" s="2"/>
    </row>
    <row r="26" spans="2:21" ht="15.75" customHeight="1" x14ac:dyDescent="0.25">
      <c r="B26" s="19"/>
      <c r="C26" s="9" t="s">
        <v>58</v>
      </c>
      <c r="D26" s="9"/>
      <c r="E26" s="21">
        <f t="shared" ref="E26:E34" si="6">D26-F26</f>
        <v>0</v>
      </c>
      <c r="F26" s="5"/>
      <c r="H26" s="31">
        <v>21</v>
      </c>
      <c r="I26" s="2" t="s">
        <v>59</v>
      </c>
      <c r="J26" s="9">
        <v>400</v>
      </c>
      <c r="K26" s="2"/>
      <c r="L26" s="2"/>
      <c r="S26" s="1"/>
      <c r="T26" s="1"/>
    </row>
    <row r="27" spans="2:21" ht="15.75" customHeight="1" x14ac:dyDescent="0.25">
      <c r="B27" s="19"/>
      <c r="C27" s="9" t="s">
        <v>60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400</v>
      </c>
      <c r="K27" s="2"/>
      <c r="L27" s="2"/>
      <c r="S27" s="1"/>
      <c r="T27" s="1"/>
      <c r="U27" s="1"/>
    </row>
    <row r="28" spans="2:21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32">
        <v>31</v>
      </c>
      <c r="I28" s="2" t="s">
        <v>63</v>
      </c>
      <c r="J28" s="9">
        <v>100</v>
      </c>
      <c r="K28" s="2"/>
      <c r="L28" s="1"/>
    </row>
    <row r="29" spans="2:21" ht="15.75" customHeight="1" x14ac:dyDescent="0.25">
      <c r="B29" s="19"/>
      <c r="C29" s="9" t="s">
        <v>64</v>
      </c>
      <c r="D29" s="9">
        <v>300</v>
      </c>
      <c r="E29" s="21">
        <f t="shared" si="6"/>
        <v>0</v>
      </c>
      <c r="F29" s="5">
        <v>300</v>
      </c>
      <c r="H29" s="33"/>
      <c r="I29" s="34" t="s">
        <v>41</v>
      </c>
      <c r="J29" s="34">
        <f>SUM(J21:J28)</f>
        <v>2427</v>
      </c>
      <c r="K29" s="34">
        <f t="shared" ref="K29:L29" si="7">SUM(K21:K27)</f>
        <v>0</v>
      </c>
      <c r="L29" s="35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1" t="s">
        <v>89</v>
      </c>
      <c r="D32" s="1">
        <v>199</v>
      </c>
      <c r="E32" s="21">
        <f t="shared" si="6"/>
        <v>0</v>
      </c>
      <c r="F32" s="23">
        <v>199</v>
      </c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>
        <v>30</v>
      </c>
      <c r="C33" s="9" t="s">
        <v>90</v>
      </c>
      <c r="D33" s="9"/>
      <c r="E33" s="21">
        <f t="shared" si="6"/>
        <v>0</v>
      </c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 t="s">
        <v>70</v>
      </c>
      <c r="D34" s="1">
        <v>100</v>
      </c>
      <c r="E34" s="21">
        <f t="shared" si="6"/>
        <v>0</v>
      </c>
      <c r="F34" s="23">
        <v>100</v>
      </c>
      <c r="H34" s="9"/>
      <c r="I34" s="2" t="s">
        <v>71</v>
      </c>
      <c r="J34" s="9">
        <v>350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8">SUM(D25:D34)</f>
        <v>649</v>
      </c>
      <c r="E35" s="26">
        <f t="shared" si="8"/>
        <v>0</v>
      </c>
      <c r="F35" s="27">
        <f t="shared" si="8"/>
        <v>649</v>
      </c>
      <c r="H35" s="31">
        <v>24</v>
      </c>
      <c r="I35" s="2" t="s">
        <v>91</v>
      </c>
      <c r="J35" s="9"/>
      <c r="K35" s="2"/>
      <c r="L35" s="2"/>
    </row>
    <row r="36" spans="2:12" ht="15.75" customHeight="1" x14ac:dyDescent="0.25">
      <c r="H36" s="31">
        <v>29</v>
      </c>
      <c r="I36" s="2" t="s">
        <v>73</v>
      </c>
      <c r="J36" s="9"/>
      <c r="K36" s="2"/>
      <c r="L36" s="2"/>
    </row>
    <row r="37" spans="2:12" ht="15.75" customHeight="1" x14ac:dyDescent="0.25">
      <c r="C37" s="1" t="s">
        <v>87</v>
      </c>
      <c r="D37" s="28">
        <f>E35+E21+E14</f>
        <v>0</v>
      </c>
      <c r="E37" s="28">
        <v>150</v>
      </c>
      <c r="H37" s="9"/>
      <c r="I37" s="2" t="s">
        <v>92</v>
      </c>
      <c r="J37" s="9"/>
      <c r="K37" s="2"/>
      <c r="L37" s="2"/>
    </row>
    <row r="38" spans="2:12" ht="15.75" customHeight="1" x14ac:dyDescent="0.25">
      <c r="C38" s="1" t="s">
        <v>77</v>
      </c>
      <c r="D38" s="29"/>
      <c r="E38" s="1"/>
      <c r="F38" s="1"/>
      <c r="H38" s="31">
        <v>26</v>
      </c>
      <c r="I38" s="2" t="s">
        <v>93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E37+E38+D37</f>
        <v>150</v>
      </c>
      <c r="H39" s="9"/>
      <c r="I39" s="2" t="s">
        <v>94</v>
      </c>
      <c r="J39" s="9">
        <v>200</v>
      </c>
      <c r="K39" s="2"/>
      <c r="L39" s="2"/>
    </row>
    <row r="40" spans="2:12" ht="15.75" customHeight="1" x14ac:dyDescent="0.25">
      <c r="D40" s="1"/>
      <c r="E40" s="1"/>
      <c r="H40" s="1"/>
      <c r="I40" s="2"/>
      <c r="J40" s="9"/>
      <c r="K40" s="2"/>
      <c r="L40" s="1"/>
    </row>
    <row r="41" spans="2:12" ht="15.75" customHeight="1" x14ac:dyDescent="0.25">
      <c r="E41" s="28"/>
      <c r="H41" s="33"/>
      <c r="I41" s="34" t="s">
        <v>41</v>
      </c>
      <c r="J41" s="34">
        <f>SUM(J33:J40)</f>
        <v>550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6204</v>
      </c>
      <c r="J43" s="1">
        <f>J41+J29+J17</f>
        <v>9022</v>
      </c>
      <c r="K43" s="1">
        <f>J43+I43</f>
        <v>15226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47" priority="1" operator="lessThan">
      <formula>0</formula>
    </cfRule>
    <cfRule type="cellIs" dxfId="46" priority="2" operator="greaterThan">
      <formula>0</formula>
    </cfRule>
    <cfRule type="cellIs" dxfId="45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9.1406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f>7260+111</f>
        <v>7371</v>
      </c>
      <c r="P3" s="2">
        <f t="shared" ref="P3:P5" si="0">Q3+R3+S3</f>
        <v>6375</v>
      </c>
      <c r="Q3" s="2">
        <f>D14</f>
        <v>4716</v>
      </c>
      <c r="R3" s="2">
        <f>D21</f>
        <v>1050</v>
      </c>
      <c r="S3" s="2">
        <f>D35</f>
        <v>609</v>
      </c>
      <c r="T3" s="7">
        <f t="shared" ref="T3:T4" si="1">O3-P3</f>
        <v>996</v>
      </c>
    </row>
    <row r="4" spans="1:20" x14ac:dyDescent="0.25">
      <c r="B4" s="8">
        <v>2</v>
      </c>
      <c r="C4" s="9" t="s">
        <v>15</v>
      </c>
      <c r="D4" s="9">
        <v>85</v>
      </c>
      <c r="E4" s="10">
        <f>'Grudzień25- wydatki'!$D4-'Grudzień25-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v>9941</v>
      </c>
      <c r="P4" s="2">
        <f t="shared" si="0"/>
        <v>10937</v>
      </c>
      <c r="Q4" s="2">
        <f>J17</f>
        <v>6045</v>
      </c>
      <c r="R4" s="2">
        <f>J29</f>
        <v>2741</v>
      </c>
      <c r="S4" s="2">
        <f>J41</f>
        <v>2151</v>
      </c>
      <c r="T4" s="7">
        <f t="shared" si="1"/>
        <v>-996</v>
      </c>
    </row>
    <row r="5" spans="1:20" x14ac:dyDescent="0.25">
      <c r="B5" s="8">
        <v>4</v>
      </c>
      <c r="C5" s="9" t="s">
        <v>18</v>
      </c>
      <c r="D5" s="9">
        <v>40</v>
      </c>
      <c r="E5" s="10">
        <f>'Grudzień25- wydatki'!$D5-'Grudzień25- wydatki'!$F5</f>
        <v>0</v>
      </c>
      <c r="F5" s="5">
        <f>40</f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17312</v>
      </c>
      <c r="Q5" s="2">
        <f t="shared" ref="Q5:S5" si="2">Q3+Q4</f>
        <v>10761</v>
      </c>
      <c r="R5" s="2">
        <f t="shared" si="2"/>
        <v>3791</v>
      </c>
      <c r="S5" s="2">
        <f t="shared" si="2"/>
        <v>2760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'Grudzień25- wydatki'!$D6-'Grudzień25- wydatki'!$F6</f>
        <v>0</v>
      </c>
      <c r="F6" s="5">
        <f>140+200+100+88.61+260+9+2.39</f>
        <v>800</v>
      </c>
      <c r="G6" s="2"/>
      <c r="H6" s="31">
        <v>9</v>
      </c>
      <c r="I6" s="9" t="s">
        <v>21</v>
      </c>
      <c r="J6" s="9">
        <v>800</v>
      </c>
      <c r="K6" s="2"/>
      <c r="L6" s="2"/>
    </row>
    <row r="7" spans="1:20" x14ac:dyDescent="0.25">
      <c r="B7" s="8">
        <v>8</v>
      </c>
      <c r="C7" s="9" t="s">
        <v>21</v>
      </c>
      <c r="D7" s="9">
        <v>800</v>
      </c>
      <c r="E7" s="10">
        <f>'Grudzień25- wydatki'!$D7-'Grudzień25- wydatki'!$F7</f>
        <v>0.42000000000007276</v>
      </c>
      <c r="F7" s="5">
        <f>13.9+13.28+42.5+22.91+177+70.99+18.21+43.2+86.18+48.47+122.44+11.98+76.17+16.35+36</f>
        <v>799.57999999999993</v>
      </c>
      <c r="G7" s="2" t="s">
        <v>95</v>
      </c>
      <c r="H7" s="31">
        <v>11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'Grudzień25- wydatki'!$D8-F8</f>
        <v>0</v>
      </c>
      <c r="F8" s="5">
        <v>300</v>
      </c>
      <c r="G8" s="2"/>
      <c r="H8" s="31">
        <v>12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4230+261+318-1650+300-223+300-250+250+228+453+350-332-350+358-120+500+400</f>
        <v>5023</v>
      </c>
      <c r="Q8" s="1" t="s">
        <v>86</v>
      </c>
      <c r="R8" s="1"/>
    </row>
    <row r="9" spans="1:20" x14ac:dyDescent="0.25">
      <c r="B9" s="8">
        <v>14</v>
      </c>
      <c r="C9" s="9" t="s">
        <v>29</v>
      </c>
      <c r="D9" s="9">
        <v>111</v>
      </c>
      <c r="E9" s="10">
        <f>'Grudzień25- wydatki'!$D9-'Grudzień25- wydatki'!$F9</f>
        <v>0</v>
      </c>
      <c r="F9" s="5">
        <f>10+30+10+10+6+16+29</f>
        <v>111</v>
      </c>
      <c r="G9" s="2" t="s">
        <v>96</v>
      </c>
      <c r="H9" s="31">
        <v>13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6660+1230+100+10+1000+1000+1000+1000+1500+1500</f>
        <v>15000</v>
      </c>
      <c r="Q9" s="1" t="s">
        <v>86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'Grudzień25- wydatki'!$D10-'Grudzień25- wydatki'!$F10</f>
        <v>0</v>
      </c>
      <c r="F10" s="5">
        <v>500</v>
      </c>
      <c r="G10" s="2"/>
      <c r="H10" s="31">
        <v>17</v>
      </c>
      <c r="I10" s="9" t="s">
        <v>34</v>
      </c>
      <c r="J10" s="9">
        <v>50</v>
      </c>
      <c r="K10" s="2"/>
      <c r="L10" s="2"/>
      <c r="O10" s="1" t="s">
        <v>35</v>
      </c>
      <c r="P10" s="1">
        <f>127+100+152+173+163+150+65-178</f>
        <v>752</v>
      </c>
      <c r="Q10" s="1" t="s">
        <v>83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'Grudzień25- wydatki'!$D11-'Grudzień25- wydatki'!$F11</f>
        <v>0</v>
      </c>
      <c r="F11" s="5">
        <v>50</v>
      </c>
      <c r="G11" s="2"/>
      <c r="H11" s="31">
        <v>18</v>
      </c>
      <c r="I11" s="9" t="s">
        <v>37</v>
      </c>
      <c r="J11" s="9">
        <v>100</v>
      </c>
      <c r="K11" s="2"/>
      <c r="L11" s="2"/>
      <c r="P11" s="1">
        <f>P8+P9+P10</f>
        <v>20775</v>
      </c>
    </row>
    <row r="12" spans="1:20" x14ac:dyDescent="0.25">
      <c r="B12" s="8">
        <v>26</v>
      </c>
      <c r="C12" s="9" t="s">
        <v>38</v>
      </c>
      <c r="D12" s="9">
        <v>1500</v>
      </c>
      <c r="E12" s="10">
        <f>'Grudzień25- wydatki'!$D12-'Grudzień25- wydatki'!$F12</f>
        <v>0</v>
      </c>
      <c r="F12" s="5">
        <v>1500</v>
      </c>
      <c r="G12" s="2"/>
      <c r="H12" s="31">
        <v>20</v>
      </c>
      <c r="I12" s="9" t="s">
        <v>39</v>
      </c>
      <c r="J12" s="9">
        <v>100</v>
      </c>
      <c r="K12" s="2"/>
      <c r="L12" s="2"/>
      <c r="O12" s="1" t="s">
        <v>33</v>
      </c>
      <c r="P12" s="1">
        <v>1713</v>
      </c>
      <c r="Q12" s="1" t="s">
        <v>83</v>
      </c>
    </row>
    <row r="13" spans="1:20" x14ac:dyDescent="0.25">
      <c r="B13" s="8">
        <v>27</v>
      </c>
      <c r="C13" s="9" t="s">
        <v>40</v>
      </c>
      <c r="D13" s="9">
        <v>530</v>
      </c>
      <c r="E13" s="10">
        <f>D13-F13</f>
        <v>0</v>
      </c>
      <c r="F13" s="5">
        <f>23+400+13+94</f>
        <v>530</v>
      </c>
      <c r="G13" s="2"/>
      <c r="H13" s="31">
        <v>22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E14" si="3">SUM(D4:D13)</f>
        <v>4716</v>
      </c>
      <c r="E14" s="15">
        <f t="shared" si="3"/>
        <v>0.42000000000007276</v>
      </c>
      <c r="F14" s="16"/>
      <c r="G14" s="2"/>
      <c r="H14" s="31">
        <v>23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25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28</v>
      </c>
      <c r="I16" s="9" t="s">
        <v>46</v>
      </c>
      <c r="J16" s="9">
        <v>500</v>
      </c>
      <c r="K16" s="2"/>
      <c r="L16" s="2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6045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x14ac:dyDescent="0.25">
      <c r="B18" s="1"/>
      <c r="C18" s="1" t="s">
        <v>47</v>
      </c>
      <c r="D18" s="9">
        <v>500</v>
      </c>
      <c r="E18" s="18">
        <f>'Grudzień25- wydatki'!$D18-F18</f>
        <v>0</v>
      </c>
      <c r="F18" s="2">
        <v>500</v>
      </c>
    </row>
    <row r="19" spans="2:21" x14ac:dyDescent="0.25">
      <c r="B19" s="19"/>
      <c r="C19" s="9" t="s">
        <v>48</v>
      </c>
      <c r="D19" s="9">
        <v>500</v>
      </c>
      <c r="E19" s="18">
        <f>'Grudzień25- wydatki'!$D19-F19</f>
        <v>0</v>
      </c>
      <c r="F19" s="5">
        <v>500</v>
      </c>
      <c r="H19" s="95" t="s">
        <v>49</v>
      </c>
      <c r="I19" s="96"/>
      <c r="J19" s="96"/>
      <c r="K19" s="96"/>
      <c r="L19" s="97"/>
      <c r="N19" s="1" t="s">
        <v>21</v>
      </c>
      <c r="O19" s="1">
        <f>5+216.66+47.96</f>
        <v>269.62</v>
      </c>
    </row>
    <row r="20" spans="2:21" x14ac:dyDescent="0.25">
      <c r="B20" s="19"/>
      <c r="C20" s="9" t="s">
        <v>50</v>
      </c>
      <c r="D20" s="9">
        <v>50</v>
      </c>
      <c r="E20" s="18">
        <f>'Grudzień25- wydatki'!$D20-F20</f>
        <v>50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  <c r="N20" s="1" t="s">
        <v>97</v>
      </c>
      <c r="O20" s="1">
        <f>62.44+47</f>
        <v>109.44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1050</v>
      </c>
      <c r="E21" s="20">
        <f t="shared" si="5"/>
        <v>50</v>
      </c>
      <c r="F21" s="16">
        <f t="shared" si="5"/>
        <v>1000</v>
      </c>
      <c r="H21" s="31">
        <v>6</v>
      </c>
      <c r="I21" s="2" t="s">
        <v>51</v>
      </c>
      <c r="J21" s="9">
        <v>1138</v>
      </c>
      <c r="K21" s="2"/>
      <c r="L21" s="2"/>
      <c r="P21" s="1"/>
      <c r="Q21" s="1"/>
      <c r="R21" s="1"/>
      <c r="S21" s="1"/>
    </row>
    <row r="22" spans="2:21" ht="15.75" customHeight="1" x14ac:dyDescent="0.25">
      <c r="H22" s="31">
        <v>15</v>
      </c>
      <c r="I22" s="2" t="s">
        <v>52</v>
      </c>
      <c r="J22" s="9">
        <v>200</v>
      </c>
      <c r="K22" s="2"/>
      <c r="L22" s="2"/>
      <c r="O22" s="1"/>
      <c r="S22" s="1"/>
    </row>
    <row r="23" spans="2:21" ht="15.75" customHeight="1" x14ac:dyDescent="0.25">
      <c r="B23" s="98" t="s">
        <v>53</v>
      </c>
      <c r="C23" s="96"/>
      <c r="D23" s="96"/>
      <c r="E23" s="96"/>
      <c r="F23" s="97"/>
      <c r="H23" s="31">
        <v>16</v>
      </c>
      <c r="I23" s="2" t="s">
        <v>54</v>
      </c>
      <c r="J23" s="9">
        <v>100</v>
      </c>
      <c r="K23" s="2"/>
      <c r="L23" s="2"/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55</v>
      </c>
      <c r="J24" s="9">
        <v>100</v>
      </c>
      <c r="K24" s="2"/>
      <c r="L24" s="2"/>
      <c r="O24" s="1"/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v>50</v>
      </c>
      <c r="H25" s="9"/>
      <c r="I25" s="2" t="s">
        <v>57</v>
      </c>
      <c r="J25" s="9">
        <v>50</v>
      </c>
      <c r="K25" s="2"/>
      <c r="L25" s="2"/>
    </row>
    <row r="26" spans="2:21" ht="15.75" customHeight="1" x14ac:dyDescent="0.25">
      <c r="B26" s="19"/>
      <c r="C26" s="9" t="s">
        <v>58</v>
      </c>
      <c r="D26" s="9">
        <v>109</v>
      </c>
      <c r="E26" s="21">
        <f t="shared" si="6"/>
        <v>0</v>
      </c>
      <c r="F26" s="5">
        <v>109</v>
      </c>
      <c r="H26" s="31">
        <v>21</v>
      </c>
      <c r="I26" s="2" t="s">
        <v>59</v>
      </c>
      <c r="J26" s="9">
        <v>553</v>
      </c>
      <c r="K26" s="2"/>
      <c r="L26" s="2"/>
      <c r="S26" s="1"/>
      <c r="T26" s="1"/>
    </row>
    <row r="27" spans="2:21" ht="15.75" customHeight="1" x14ac:dyDescent="0.25">
      <c r="B27" s="19"/>
      <c r="C27" s="9" t="s">
        <v>60</v>
      </c>
      <c r="D27" s="9">
        <v>50</v>
      </c>
      <c r="E27" s="21">
        <f t="shared" si="6"/>
        <v>0</v>
      </c>
      <c r="F27" s="5">
        <v>50</v>
      </c>
      <c r="H27" s="31">
        <v>25</v>
      </c>
      <c r="I27" s="2" t="s">
        <v>61</v>
      </c>
      <c r="J27" s="9">
        <v>500</v>
      </c>
      <c r="K27" s="2"/>
      <c r="L27" s="2"/>
      <c r="S27" s="1"/>
      <c r="T27" s="1"/>
      <c r="U27" s="1"/>
    </row>
    <row r="28" spans="2:21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32">
        <v>31</v>
      </c>
      <c r="I28" s="2" t="s">
        <v>63</v>
      </c>
      <c r="J28" s="9">
        <v>100</v>
      </c>
      <c r="K28" s="2"/>
      <c r="L28" s="1"/>
    </row>
    <row r="29" spans="2:21" ht="15.75" customHeight="1" x14ac:dyDescent="0.25">
      <c r="B29" s="19"/>
      <c r="C29" s="9" t="s">
        <v>64</v>
      </c>
      <c r="D29" s="9">
        <v>300</v>
      </c>
      <c r="E29" s="21">
        <f t="shared" si="6"/>
        <v>0</v>
      </c>
      <c r="F29" s="5">
        <v>300</v>
      </c>
      <c r="H29" s="33"/>
      <c r="I29" s="34" t="s">
        <v>41</v>
      </c>
      <c r="J29" s="34">
        <f>SUM(J21:J28)</f>
        <v>2741</v>
      </c>
      <c r="K29" s="34">
        <f t="shared" ref="K29:L29" si="7">SUM(K21:K27)</f>
        <v>0</v>
      </c>
      <c r="L29" s="35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>
        <v>100</v>
      </c>
      <c r="E31" s="21">
        <f t="shared" si="6"/>
        <v>100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1"/>
      <c r="D32" s="1"/>
      <c r="E32" s="21">
        <f t="shared" si="6"/>
        <v>0</v>
      </c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>
        <v>30</v>
      </c>
      <c r="C33" s="9" t="s">
        <v>90</v>
      </c>
      <c r="D33" s="9"/>
      <c r="E33" s="21">
        <f t="shared" si="6"/>
        <v>0</v>
      </c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 t="s">
        <v>98</v>
      </c>
      <c r="D34" s="1"/>
      <c r="E34" s="21">
        <f t="shared" si="6"/>
        <v>0</v>
      </c>
      <c r="F34" s="23"/>
      <c r="H34" s="9"/>
      <c r="I34" s="2" t="s">
        <v>71</v>
      </c>
      <c r="J34" s="9">
        <v>350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8">SUM(D25:D34)</f>
        <v>609</v>
      </c>
      <c r="E35" s="26">
        <f t="shared" si="8"/>
        <v>100</v>
      </c>
      <c r="F35" s="27">
        <f t="shared" si="8"/>
        <v>509</v>
      </c>
      <c r="H35" s="31">
        <v>24</v>
      </c>
      <c r="I35" s="2" t="s">
        <v>91</v>
      </c>
      <c r="J35" s="9">
        <v>600</v>
      </c>
      <c r="K35" s="2"/>
      <c r="L35" s="2"/>
    </row>
    <row r="36" spans="2:12" ht="15.75" customHeight="1" x14ac:dyDescent="0.25">
      <c r="H36" s="31">
        <v>29</v>
      </c>
      <c r="I36" s="2" t="s">
        <v>73</v>
      </c>
      <c r="J36" s="9">
        <v>799</v>
      </c>
      <c r="K36" s="2"/>
      <c r="L36" s="2"/>
    </row>
    <row r="37" spans="2:12" ht="15.75" customHeight="1" x14ac:dyDescent="0.25">
      <c r="C37" s="1" t="s">
        <v>99</v>
      </c>
      <c r="D37" s="28">
        <f>E35+E21+E14</f>
        <v>150.42000000000007</v>
      </c>
      <c r="E37" s="28">
        <v>0</v>
      </c>
      <c r="H37" s="9"/>
      <c r="I37" s="2" t="s">
        <v>92</v>
      </c>
      <c r="J37" s="9">
        <v>300</v>
      </c>
      <c r="K37" s="2"/>
      <c r="L37" s="2"/>
    </row>
    <row r="38" spans="2:12" ht="15.75" customHeight="1" x14ac:dyDescent="0.25">
      <c r="C38" s="1" t="s">
        <v>77</v>
      </c>
      <c r="D38" s="29"/>
      <c r="E38" s="1"/>
      <c r="F38" s="1"/>
      <c r="H38" s="31">
        <v>26</v>
      </c>
      <c r="I38" s="2" t="s">
        <v>93</v>
      </c>
      <c r="J38" s="9">
        <v>102</v>
      </c>
      <c r="K38" s="2"/>
      <c r="L38" s="2"/>
    </row>
    <row r="39" spans="2:12" ht="15.75" customHeight="1" x14ac:dyDescent="0.25">
      <c r="C39" s="1" t="s">
        <v>79</v>
      </c>
      <c r="E39" s="28">
        <f>E37+E38+D37</f>
        <v>150.42000000000007</v>
      </c>
      <c r="H39" s="9"/>
      <c r="I39" s="2"/>
      <c r="J39" s="9"/>
      <c r="K39" s="2"/>
      <c r="L39" s="2"/>
    </row>
    <row r="40" spans="2:12" ht="15.75" customHeight="1" x14ac:dyDescent="0.25">
      <c r="D40" s="1"/>
      <c r="E40" s="1"/>
      <c r="H40" s="1"/>
      <c r="I40" s="2"/>
      <c r="J40" s="9"/>
      <c r="K40" s="2"/>
      <c r="L40" s="1"/>
    </row>
    <row r="41" spans="2:12" ht="15.75" customHeight="1" x14ac:dyDescent="0.25">
      <c r="E41" s="28"/>
      <c r="H41" s="33"/>
      <c r="I41" s="34" t="s">
        <v>41</v>
      </c>
      <c r="J41" s="34">
        <f>SUM(J33:J40)</f>
        <v>2151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6375</v>
      </c>
      <c r="J43" s="1">
        <f>J41+J29+J17</f>
        <v>10937</v>
      </c>
      <c r="K43" s="1">
        <f>J43+I43</f>
        <v>17312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44" priority="1" operator="lessThan">
      <formula>0</formula>
    </cfRule>
    <cfRule type="cellIs" dxfId="43" priority="2" operator="greaterThan">
      <formula>0</formula>
    </cfRule>
    <cfRule type="cellIs" dxfId="42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6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G3" s="2"/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f>7263+300</f>
        <v>7563</v>
      </c>
      <c r="P3" s="2">
        <f t="shared" ref="P3:P5" si="0">Q3+R3+S3</f>
        <v>6707</v>
      </c>
      <c r="Q3" s="2">
        <f>D14</f>
        <v>6299</v>
      </c>
      <c r="R3" s="2">
        <f>D21</f>
        <v>358</v>
      </c>
      <c r="S3" s="2">
        <f>D35</f>
        <v>50</v>
      </c>
      <c r="T3" s="7">
        <f t="shared" ref="T3:T4" si="1">O3-P3</f>
        <v>856</v>
      </c>
    </row>
    <row r="4" spans="1:20" x14ac:dyDescent="0.25">
      <c r="B4" s="8">
        <v>2</v>
      </c>
      <c r="C4" s="9" t="s">
        <v>15</v>
      </c>
      <c r="D4" s="9">
        <v>85</v>
      </c>
      <c r="E4" s="10">
        <f>'Listopad25- wydatki'!$D4-'Listopad25- wydatki'!$F4</f>
        <v>0</v>
      </c>
      <c r="F4" s="5">
        <f>25+60</f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f>7108+2300</f>
        <v>9408</v>
      </c>
      <c r="P4" s="2">
        <f t="shared" si="0"/>
        <v>10264</v>
      </c>
      <c r="Q4" s="2">
        <f>J17</f>
        <v>6536</v>
      </c>
      <c r="R4" s="2">
        <f>J29</f>
        <v>2345</v>
      </c>
      <c r="S4" s="2">
        <f>J41</f>
        <v>1383</v>
      </c>
      <c r="T4" s="7">
        <f t="shared" si="1"/>
        <v>-856</v>
      </c>
    </row>
    <row r="5" spans="1:20" x14ac:dyDescent="0.25">
      <c r="B5" s="8">
        <v>4</v>
      </c>
      <c r="C5" s="9" t="s">
        <v>18</v>
      </c>
      <c r="D5" s="9">
        <v>40</v>
      </c>
      <c r="E5" s="10">
        <f>'Listopad25- wydatki'!$D5-'Listopad25- wydatki'!$F5</f>
        <v>0</v>
      </c>
      <c r="F5" s="5">
        <f>29+4+7</f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16971</v>
      </c>
      <c r="Q5" s="2">
        <f t="shared" ref="Q5:S5" si="2">Q3+Q4</f>
        <v>12835</v>
      </c>
      <c r="R5" s="2">
        <f t="shared" si="2"/>
        <v>2703</v>
      </c>
      <c r="S5" s="2">
        <f t="shared" si="2"/>
        <v>1433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'Listopad25- wydatki'!$D6-'Listopad25- wydatki'!$F6</f>
        <v>0</v>
      </c>
      <c r="F6" s="5">
        <f>180+235+99+95+191</f>
        <v>800</v>
      </c>
      <c r="G6" s="2"/>
      <c r="H6" s="31">
        <v>9</v>
      </c>
      <c r="I6" s="9" t="s">
        <v>21</v>
      </c>
      <c r="J6" s="9">
        <v>800</v>
      </c>
      <c r="K6" s="2"/>
      <c r="L6" s="2"/>
    </row>
    <row r="7" spans="1:20" x14ac:dyDescent="0.25">
      <c r="B7" s="8">
        <v>8</v>
      </c>
      <c r="C7" s="9" t="s">
        <v>21</v>
      </c>
      <c r="D7" s="9">
        <v>800</v>
      </c>
      <c r="E7" s="10">
        <f>'Listopad25- wydatki'!$D7-'Listopad25- wydatki'!$F7</f>
        <v>-0.40000000000009095</v>
      </c>
      <c r="F7" s="5">
        <f>20+33.71+11.18+16.66+104.63+3.99+29.55+170.65+17.88+59+110+12.74+57.7+85+36.87+5.97+41.87+35-52</f>
        <v>800.40000000000009</v>
      </c>
      <c r="G7" s="2">
        <v>6.12</v>
      </c>
      <c r="H7" s="31">
        <v>11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'Listopad25- wydatki'!$D8-F8</f>
        <v>0</v>
      </c>
      <c r="F8" s="5">
        <f>235+65</f>
        <v>300</v>
      </c>
      <c r="G8" s="2"/>
      <c r="H8" s="31">
        <v>12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4230+261+318-1650+300-223+300-250+250+228+453+350-332-350+358-120</f>
        <v>4123</v>
      </c>
      <c r="Q8" s="1" t="s">
        <v>100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'Listopad25- wydatki'!$D9-'Listopad25- wydatki'!$F9</f>
        <v>0</v>
      </c>
      <c r="F9" s="5">
        <f>30+20+22+3+14+11</f>
        <v>100</v>
      </c>
      <c r="G9" s="2"/>
      <c r="H9" s="31">
        <v>13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6660+1230+100+10+1000+1000+1000+1000</f>
        <v>12000</v>
      </c>
      <c r="Q9" s="1" t="s">
        <v>100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'Listopad25- wydatki'!$D10-'Listopad25- wydatki'!$F10</f>
        <v>0</v>
      </c>
      <c r="F10" s="5">
        <v>500</v>
      </c>
      <c r="G10" s="2"/>
      <c r="H10" s="31">
        <v>17</v>
      </c>
      <c r="I10" s="9" t="s">
        <v>34</v>
      </c>
      <c r="J10" s="9">
        <v>100</v>
      </c>
      <c r="K10" s="2"/>
      <c r="L10" s="2"/>
      <c r="O10" s="1" t="s">
        <v>35</v>
      </c>
      <c r="P10" s="1">
        <f>127+100+152+173+163+150+65</f>
        <v>930</v>
      </c>
      <c r="Q10" s="1" t="s">
        <v>100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'Listopad25- wydatki'!$D11-'Listopad25- wydatki'!$F11</f>
        <v>0</v>
      </c>
      <c r="F11" s="5">
        <v>50</v>
      </c>
      <c r="G11" s="2"/>
      <c r="H11" s="31">
        <v>18</v>
      </c>
      <c r="I11" s="9" t="s">
        <v>37</v>
      </c>
      <c r="J11" s="9">
        <v>100</v>
      </c>
      <c r="K11" s="2"/>
      <c r="L11" s="2"/>
      <c r="P11" s="1">
        <f>P8+P9+P10</f>
        <v>17053</v>
      </c>
    </row>
    <row r="12" spans="1:20" x14ac:dyDescent="0.25">
      <c r="B12" s="8">
        <v>26</v>
      </c>
      <c r="C12" s="9" t="s">
        <v>38</v>
      </c>
      <c r="D12" s="9">
        <v>1000</v>
      </c>
      <c r="E12" s="10">
        <f>'Listopad25- wydatki'!$D12-'Listopad25- wydatki'!$F12</f>
        <v>0</v>
      </c>
      <c r="F12" s="5">
        <v>1000</v>
      </c>
      <c r="G12" s="2"/>
      <c r="H12" s="31">
        <v>20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1510+500+500+500-900-370+330-20</f>
        <v>2050</v>
      </c>
      <c r="Q12" s="1" t="s">
        <v>101</v>
      </c>
    </row>
    <row r="13" spans="1:20" x14ac:dyDescent="0.25">
      <c r="B13" s="8">
        <v>27</v>
      </c>
      <c r="C13" s="9" t="s">
        <v>40</v>
      </c>
      <c r="D13" s="9">
        <v>2624</v>
      </c>
      <c r="E13" s="10">
        <f>D13-F13</f>
        <v>0</v>
      </c>
      <c r="F13" s="5">
        <f>7+960+226+23+108+30+1250+20</f>
        <v>2624</v>
      </c>
      <c r="G13" s="2"/>
      <c r="H13" s="31">
        <v>22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E14" si="3">SUM(D4:D13)</f>
        <v>6299</v>
      </c>
      <c r="E14" s="15">
        <f t="shared" si="3"/>
        <v>-0.40000000000009095</v>
      </c>
      <c r="F14" s="16"/>
      <c r="G14" s="2"/>
      <c r="H14" s="31">
        <v>23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25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28</v>
      </c>
      <c r="I16" s="9" t="s">
        <v>46</v>
      </c>
      <c r="J16" s="9">
        <v>941</v>
      </c>
      <c r="K16" s="2"/>
      <c r="L16" s="2"/>
    </row>
    <row r="17" spans="2:21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6536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1" x14ac:dyDescent="0.25">
      <c r="B18" s="1"/>
      <c r="C18" s="1" t="s">
        <v>102</v>
      </c>
      <c r="D18" s="9"/>
      <c r="E18" s="36">
        <f>'Listopad25- wydatki'!$D18-F18</f>
        <v>0</v>
      </c>
      <c r="F18" s="2"/>
    </row>
    <row r="19" spans="2:21" x14ac:dyDescent="0.25">
      <c r="B19" s="19"/>
      <c r="C19" s="9" t="s">
        <v>48</v>
      </c>
      <c r="D19" s="9">
        <v>358</v>
      </c>
      <c r="E19" s="36">
        <f>'Listopad25- wydatki'!$D19-F19</f>
        <v>0</v>
      </c>
      <c r="F19" s="5">
        <f>358</f>
        <v>358</v>
      </c>
      <c r="H19" s="95" t="s">
        <v>49</v>
      </c>
      <c r="I19" s="96"/>
      <c r="J19" s="96"/>
      <c r="K19" s="96"/>
      <c r="L19" s="97"/>
    </row>
    <row r="20" spans="2:21" x14ac:dyDescent="0.25">
      <c r="B20" s="19"/>
      <c r="C20" s="9" t="s">
        <v>50</v>
      </c>
      <c r="D20" s="9"/>
      <c r="E20" s="36">
        <f>'Listopad25-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21" ht="15.75" customHeight="1" x14ac:dyDescent="0.25">
      <c r="B21" s="13"/>
      <c r="C21" s="14" t="s">
        <v>41</v>
      </c>
      <c r="D21" s="14">
        <f t="shared" ref="D21:F21" si="5">SUM(D18:D20)</f>
        <v>358</v>
      </c>
      <c r="E21" s="37">
        <f t="shared" si="5"/>
        <v>0</v>
      </c>
      <c r="F21" s="16">
        <f t="shared" si="5"/>
        <v>358</v>
      </c>
      <c r="H21" s="31">
        <v>6</v>
      </c>
      <c r="I21" s="2" t="s">
        <v>51</v>
      </c>
      <c r="J21" s="9">
        <v>1095</v>
      </c>
      <c r="K21" s="2"/>
      <c r="L21" s="2"/>
      <c r="P21" s="1"/>
      <c r="Q21" s="1"/>
      <c r="R21" s="1"/>
      <c r="S21" s="1"/>
    </row>
    <row r="22" spans="2:21" ht="15.75" customHeight="1" x14ac:dyDescent="0.25">
      <c r="H22" s="31">
        <v>15</v>
      </c>
      <c r="I22" s="2" t="s">
        <v>52</v>
      </c>
      <c r="J22" s="9">
        <v>200</v>
      </c>
      <c r="K22" s="2"/>
      <c r="L22" s="2"/>
      <c r="O22" s="1"/>
      <c r="S22" s="1" t="s">
        <v>103</v>
      </c>
    </row>
    <row r="23" spans="2:21" ht="15.75" customHeight="1" x14ac:dyDescent="0.25">
      <c r="B23" s="98" t="s">
        <v>53</v>
      </c>
      <c r="C23" s="96"/>
      <c r="D23" s="96"/>
      <c r="E23" s="96"/>
      <c r="F23" s="97"/>
      <c r="H23" s="31">
        <v>16</v>
      </c>
      <c r="I23" s="2" t="s">
        <v>54</v>
      </c>
      <c r="J23" s="9">
        <v>100</v>
      </c>
      <c r="K23" s="2"/>
      <c r="L23" s="2"/>
      <c r="T23" s="1">
        <v>32</v>
      </c>
    </row>
    <row r="24" spans="2:21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55</v>
      </c>
      <c r="J24" s="9">
        <v>100</v>
      </c>
      <c r="K24" s="2"/>
      <c r="L24" s="2"/>
      <c r="O24" s="1"/>
      <c r="S24" s="1" t="s">
        <v>104</v>
      </c>
      <c r="T24" s="1" t="s">
        <v>105</v>
      </c>
    </row>
    <row r="25" spans="2:21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f>35+15</f>
        <v>50</v>
      </c>
      <c r="H25" s="9"/>
      <c r="I25" s="2" t="s">
        <v>57</v>
      </c>
      <c r="J25" s="9">
        <v>50</v>
      </c>
      <c r="K25" s="2"/>
      <c r="L25" s="2"/>
      <c r="T25" s="1" t="s">
        <v>106</v>
      </c>
    </row>
    <row r="26" spans="2:21" ht="15.75" customHeight="1" x14ac:dyDescent="0.25">
      <c r="B26" s="19"/>
      <c r="C26" s="9" t="s">
        <v>107</v>
      </c>
      <c r="D26" s="9"/>
      <c r="E26" s="21">
        <f t="shared" si="6"/>
        <v>0</v>
      </c>
      <c r="F26" s="5"/>
      <c r="H26" s="31">
        <v>21</v>
      </c>
      <c r="I26" s="2" t="s">
        <v>59</v>
      </c>
      <c r="J26" s="9">
        <v>400</v>
      </c>
      <c r="K26" s="2"/>
      <c r="L26" s="2"/>
      <c r="S26" s="1"/>
      <c r="T26" s="1" t="s">
        <v>108</v>
      </c>
    </row>
    <row r="27" spans="2:21" ht="15.75" customHeight="1" x14ac:dyDescent="0.25">
      <c r="B27" s="19"/>
      <c r="C27" s="9" t="s">
        <v>109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400</v>
      </c>
      <c r="K27" s="2"/>
      <c r="L27" s="2"/>
      <c r="S27" s="1"/>
      <c r="T27" s="1" t="s">
        <v>110</v>
      </c>
      <c r="U27" s="1"/>
    </row>
    <row r="28" spans="2:21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32">
        <v>31</v>
      </c>
      <c r="I28" s="2" t="s">
        <v>111</v>
      </c>
      <c r="J28" s="9"/>
      <c r="K28" s="2"/>
      <c r="L28" s="1"/>
    </row>
    <row r="29" spans="2:21" ht="15.75" customHeight="1" x14ac:dyDescent="0.25">
      <c r="B29" s="19"/>
      <c r="C29" s="9"/>
      <c r="D29" s="9"/>
      <c r="E29" s="21">
        <f t="shared" si="6"/>
        <v>0</v>
      </c>
      <c r="F29" s="5"/>
      <c r="H29" s="33"/>
      <c r="I29" s="34" t="s">
        <v>41</v>
      </c>
      <c r="J29" s="34">
        <f>SUM(J21:J28)</f>
        <v>2345</v>
      </c>
      <c r="K29" s="34">
        <f t="shared" ref="K29:L29" si="7">SUM(K21:K27)</f>
        <v>0</v>
      </c>
      <c r="L29" s="35">
        <f t="shared" si="7"/>
        <v>0</v>
      </c>
    </row>
    <row r="30" spans="2:21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1" ht="15.75" customHeight="1" x14ac:dyDescent="0.25">
      <c r="B31" s="19"/>
      <c r="C31" s="9" t="s">
        <v>66</v>
      </c>
      <c r="D31" s="9"/>
      <c r="E31" s="21">
        <f t="shared" si="6"/>
        <v>0</v>
      </c>
      <c r="F31" s="5"/>
      <c r="H31" s="95" t="s">
        <v>67</v>
      </c>
      <c r="I31" s="96"/>
      <c r="J31" s="96"/>
      <c r="K31" s="96"/>
      <c r="L31" s="97"/>
    </row>
    <row r="32" spans="2:21" ht="15.75" customHeight="1" x14ac:dyDescent="0.25">
      <c r="B32" s="17"/>
      <c r="C32" s="1"/>
      <c r="D32" s="1"/>
      <c r="E32" s="21">
        <f t="shared" si="6"/>
        <v>0</v>
      </c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>
        <v>30</v>
      </c>
      <c r="C33" s="9" t="s">
        <v>90</v>
      </c>
      <c r="D33" s="9"/>
      <c r="E33" s="21">
        <f t="shared" si="6"/>
        <v>0</v>
      </c>
      <c r="F33" s="5"/>
      <c r="H33" s="31">
        <v>22</v>
      </c>
      <c r="I33" s="2" t="s">
        <v>69</v>
      </c>
      <c r="J33" s="9">
        <v>89</v>
      </c>
      <c r="K33" s="2"/>
      <c r="L33" s="2"/>
    </row>
    <row r="34" spans="2:12" ht="15.75" customHeight="1" x14ac:dyDescent="0.25">
      <c r="B34" s="17"/>
      <c r="C34" s="1" t="s">
        <v>98</v>
      </c>
      <c r="D34" s="1"/>
      <c r="E34" s="21">
        <f t="shared" si="6"/>
        <v>0</v>
      </c>
      <c r="F34" s="23"/>
      <c r="H34" s="9"/>
      <c r="I34" s="2" t="s">
        <v>112</v>
      </c>
      <c r="J34" s="9">
        <v>638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8">SUM(D25:D34)</f>
        <v>50</v>
      </c>
      <c r="E35" s="26">
        <f t="shared" si="8"/>
        <v>0</v>
      </c>
      <c r="F35" s="27">
        <f t="shared" si="8"/>
        <v>50</v>
      </c>
      <c r="H35" s="31">
        <v>24</v>
      </c>
      <c r="I35" s="2" t="s">
        <v>113</v>
      </c>
      <c r="J35" s="9">
        <v>367</v>
      </c>
      <c r="K35" s="2"/>
      <c r="L35" s="2"/>
    </row>
    <row r="36" spans="2:12" ht="15.75" customHeight="1" x14ac:dyDescent="0.25">
      <c r="H36" s="31">
        <v>29</v>
      </c>
      <c r="I36" s="2" t="s">
        <v>114</v>
      </c>
      <c r="J36" s="9">
        <v>69</v>
      </c>
      <c r="K36" s="2"/>
      <c r="L36" s="2"/>
    </row>
    <row r="37" spans="2:12" ht="15.75" customHeight="1" x14ac:dyDescent="0.25">
      <c r="C37" s="1" t="s">
        <v>87</v>
      </c>
      <c r="D37" s="28">
        <f>E35+E21+E14</f>
        <v>-0.40000000000009095</v>
      </c>
      <c r="E37" s="28">
        <v>0</v>
      </c>
      <c r="H37" s="9"/>
      <c r="I37" s="2" t="s">
        <v>115</v>
      </c>
      <c r="J37" s="9">
        <v>220</v>
      </c>
      <c r="K37" s="2"/>
      <c r="L37" s="2"/>
    </row>
    <row r="38" spans="2:12" ht="15.75" customHeight="1" x14ac:dyDescent="0.25">
      <c r="C38" s="1" t="s">
        <v>99</v>
      </c>
      <c r="D38" s="29"/>
      <c r="E38" s="1"/>
      <c r="F38" s="1"/>
      <c r="H38" s="31">
        <v>26</v>
      </c>
      <c r="I38" s="2" t="s">
        <v>116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E37+E38+D37</f>
        <v>-0.40000000000009095</v>
      </c>
      <c r="H39" s="9"/>
      <c r="I39" s="2"/>
      <c r="J39" s="9"/>
      <c r="K39" s="2"/>
      <c r="L39" s="2"/>
    </row>
    <row r="40" spans="2:12" ht="15.75" customHeight="1" x14ac:dyDescent="0.25">
      <c r="D40" s="1" t="s">
        <v>117</v>
      </c>
      <c r="E40" s="1">
        <v>0</v>
      </c>
      <c r="H40" s="1"/>
      <c r="I40" s="2"/>
      <c r="J40" s="9"/>
      <c r="K40" s="2"/>
      <c r="L40" s="1"/>
    </row>
    <row r="41" spans="2:12" ht="15.75" customHeight="1" x14ac:dyDescent="0.25">
      <c r="E41" s="28">
        <f>E39-E40</f>
        <v>-0.40000000000009095</v>
      </c>
      <c r="H41" s="33"/>
      <c r="I41" s="34" t="s">
        <v>41</v>
      </c>
      <c r="J41" s="34">
        <f>SUM(J33:J40)</f>
        <v>1383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6707</v>
      </c>
      <c r="J43" s="1">
        <f>J41+J29+J17</f>
        <v>10264</v>
      </c>
      <c r="K43" s="1">
        <f>J43+I43</f>
        <v>16971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41" priority="1" operator="lessThan">
      <formula>0</formula>
    </cfRule>
    <cfRule type="cellIs" dxfId="40" priority="2" operator="greaterThan">
      <formula>0</formula>
    </cfRule>
    <cfRule type="cellIs" dxfId="39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5469</v>
      </c>
      <c r="P3" s="2">
        <f t="shared" ref="P3:P5" si="0">Q3+R3+S3</f>
        <v>5083</v>
      </c>
      <c r="Q3" s="2">
        <f>D14</f>
        <v>4175</v>
      </c>
      <c r="R3" s="2">
        <f>D21</f>
        <v>480</v>
      </c>
      <c r="S3" s="2">
        <f>D35</f>
        <v>428</v>
      </c>
      <c r="T3" s="7">
        <f t="shared" ref="T3:T4" si="1">O3-P3</f>
        <v>386</v>
      </c>
    </row>
    <row r="4" spans="1:20" x14ac:dyDescent="0.25">
      <c r="B4" s="8">
        <v>2</v>
      </c>
      <c r="C4" s="9" t="s">
        <v>15</v>
      </c>
      <c r="D4" s="9">
        <v>85</v>
      </c>
      <c r="E4" s="10">
        <f>'Październik25- wydatki'!$D4-'Październik25-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f>5662+2250+1375</f>
        <v>9287</v>
      </c>
      <c r="P4" s="2">
        <f t="shared" si="0"/>
        <v>9673</v>
      </c>
      <c r="Q4" s="2">
        <f>J17</f>
        <v>6045</v>
      </c>
      <c r="R4" s="2">
        <f>J29</f>
        <v>3383</v>
      </c>
      <c r="S4" s="2">
        <f>J41</f>
        <v>245</v>
      </c>
      <c r="T4" s="7">
        <f t="shared" si="1"/>
        <v>-386</v>
      </c>
    </row>
    <row r="5" spans="1:20" x14ac:dyDescent="0.25">
      <c r="B5" s="8">
        <v>4</v>
      </c>
      <c r="C5" s="9" t="s">
        <v>18</v>
      </c>
      <c r="D5" s="9">
        <v>40</v>
      </c>
      <c r="E5" s="10">
        <f>'Październik25- wydatki'!$D5-'Październik25- wydatki'!$F5</f>
        <v>0</v>
      </c>
      <c r="F5" s="5"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14756</v>
      </c>
      <c r="Q5" s="2">
        <f t="shared" ref="Q5:S5" si="2">Q3+Q4</f>
        <v>10220</v>
      </c>
      <c r="R5" s="2">
        <f t="shared" si="2"/>
        <v>3863</v>
      </c>
      <c r="S5" s="2">
        <f t="shared" si="2"/>
        <v>673</v>
      </c>
      <c r="T5" s="12"/>
    </row>
    <row r="6" spans="1:20" x14ac:dyDescent="0.25">
      <c r="B6" s="8">
        <v>7</v>
      </c>
      <c r="C6" s="9" t="s">
        <v>20</v>
      </c>
      <c r="D6" s="9">
        <v>800</v>
      </c>
      <c r="E6" s="10">
        <f>'Październik25- wydatki'!$D6-'Październik25- wydatki'!$F6</f>
        <v>0</v>
      </c>
      <c r="F6" s="5">
        <f>99+330+98+100+23+150</f>
        <v>800</v>
      </c>
      <c r="G6" s="2"/>
      <c r="H6" s="31">
        <v>9</v>
      </c>
      <c r="I6" s="9" t="s">
        <v>21</v>
      </c>
      <c r="J6" s="9">
        <v>800</v>
      </c>
      <c r="K6" s="2"/>
      <c r="L6" s="2"/>
    </row>
    <row r="7" spans="1:20" x14ac:dyDescent="0.25">
      <c r="B7" s="8">
        <v>8</v>
      </c>
      <c r="C7" s="9" t="s">
        <v>21</v>
      </c>
      <c r="D7" s="9">
        <v>800</v>
      </c>
      <c r="E7" s="10">
        <f>'Październik25- wydatki'!$D7-'Październik25- wydatki'!$F7</f>
        <v>0.12000000000011823</v>
      </c>
      <c r="F7" s="5">
        <f>32.83+22.39+5.58+42.08+101.64+36.83+4.59+36.23+21.42+58.33+96.28+113+6.5+57.08+50.82+20.67+16.67+50.3+11.64+15</f>
        <v>799.87999999999988</v>
      </c>
      <c r="G7" s="2"/>
      <c r="H7" s="31">
        <v>11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'Październik25- wydatki'!$D8-F8</f>
        <v>0</v>
      </c>
      <c r="F8" s="5">
        <f>150+150</f>
        <v>300</v>
      </c>
      <c r="G8" s="2"/>
      <c r="H8" s="31">
        <v>12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4230+261+318-1650+300-223+300-250+250+228+453+350-332-350</f>
        <v>3885</v>
      </c>
      <c r="Q8" s="1" t="s">
        <v>101</v>
      </c>
      <c r="R8" s="1"/>
    </row>
    <row r="9" spans="1:20" x14ac:dyDescent="0.25">
      <c r="B9" s="8">
        <v>14</v>
      </c>
      <c r="C9" s="9" t="s">
        <v>29</v>
      </c>
      <c r="D9" s="9">
        <v>100</v>
      </c>
      <c r="E9" s="10">
        <f>'Październik25- wydatki'!$D9-'Październik25- wydatki'!$F9</f>
        <v>0</v>
      </c>
      <c r="F9" s="5">
        <f>28+3+17+48+3+1</f>
        <v>100</v>
      </c>
      <c r="G9" s="2"/>
      <c r="H9" s="31">
        <v>13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6660+1230+100+10+1000+1000+1000</f>
        <v>11000</v>
      </c>
      <c r="Q9" s="1" t="s">
        <v>101</v>
      </c>
    </row>
    <row r="10" spans="1:20" x14ac:dyDescent="0.25">
      <c r="B10" s="8">
        <v>19</v>
      </c>
      <c r="C10" s="9" t="s">
        <v>33</v>
      </c>
      <c r="D10" s="9">
        <v>500</v>
      </c>
      <c r="E10" s="10">
        <f>'Październik25- wydatki'!$D10-'Październik25- wydatki'!$F10</f>
        <v>0</v>
      </c>
      <c r="F10" s="5">
        <v>500</v>
      </c>
      <c r="G10" s="2"/>
      <c r="H10" s="31">
        <v>17</v>
      </c>
      <c r="I10" s="9" t="s">
        <v>34</v>
      </c>
      <c r="J10" s="9">
        <v>50</v>
      </c>
      <c r="K10" s="2"/>
      <c r="L10" s="2"/>
      <c r="O10" s="1" t="s">
        <v>35</v>
      </c>
      <c r="P10" s="1">
        <f>127+100+152+173+163+150</f>
        <v>865</v>
      </c>
      <c r="Q10" s="1" t="s">
        <v>101</v>
      </c>
    </row>
    <row r="11" spans="1:20" x14ac:dyDescent="0.25">
      <c r="B11" s="8">
        <v>21</v>
      </c>
      <c r="C11" s="9" t="s">
        <v>36</v>
      </c>
      <c r="D11" s="9">
        <v>50</v>
      </c>
      <c r="E11" s="10">
        <f>'Październik25- wydatki'!$D11-'Październik25- wydatki'!$F11</f>
        <v>0</v>
      </c>
      <c r="F11" s="5">
        <v>50</v>
      </c>
      <c r="G11" s="2"/>
      <c r="H11" s="31">
        <v>18</v>
      </c>
      <c r="I11" s="9" t="s">
        <v>37</v>
      </c>
      <c r="J11" s="9">
        <v>100</v>
      </c>
      <c r="K11" s="2"/>
      <c r="L11" s="2"/>
      <c r="P11" s="1">
        <f>P8+P9+P10</f>
        <v>15750</v>
      </c>
    </row>
    <row r="12" spans="1:20" x14ac:dyDescent="0.25">
      <c r="B12" s="8">
        <v>26</v>
      </c>
      <c r="C12" s="9" t="s">
        <v>38</v>
      </c>
      <c r="D12" s="9">
        <v>1000</v>
      </c>
      <c r="E12" s="10">
        <f>'Październik25- wydatki'!$D12-'Październik25- wydatki'!$F12</f>
        <v>0</v>
      </c>
      <c r="F12" s="5">
        <v>1000</v>
      </c>
      <c r="G12" s="2"/>
      <c r="H12" s="31">
        <v>20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1510+500+500+500-900-370+330-20</f>
        <v>2050</v>
      </c>
      <c r="Q12" s="1" t="s">
        <v>101</v>
      </c>
    </row>
    <row r="13" spans="1:20" x14ac:dyDescent="0.25">
      <c r="B13" s="8">
        <v>27</v>
      </c>
      <c r="C13" s="9" t="s">
        <v>40</v>
      </c>
      <c r="D13" s="9">
        <v>500</v>
      </c>
      <c r="E13" s="10">
        <f>'Październik25- wydatki'!$D13-'Październik25- wydatki'!$F13</f>
        <v>0</v>
      </c>
      <c r="F13" s="5">
        <f>300+26+25+46+3+27+45+10+18</f>
        <v>500</v>
      </c>
      <c r="G13" s="2"/>
      <c r="H13" s="31">
        <v>22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4175</v>
      </c>
      <c r="E14" s="15">
        <f t="shared" si="3"/>
        <v>0.12000000000011823</v>
      </c>
      <c r="F14" s="16">
        <f t="shared" si="3"/>
        <v>4174.88</v>
      </c>
      <c r="G14" s="2"/>
      <c r="H14" s="31">
        <v>23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25</v>
      </c>
      <c r="I15" s="9" t="s">
        <v>44</v>
      </c>
      <c r="J15" s="9">
        <v>50</v>
      </c>
      <c r="K15" s="2"/>
      <c r="L15" s="2">
        <v>20</v>
      </c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28</v>
      </c>
      <c r="I16" s="9" t="s">
        <v>46</v>
      </c>
      <c r="J16" s="9">
        <v>500</v>
      </c>
      <c r="K16" s="2"/>
      <c r="L16" s="2"/>
    </row>
    <row r="17" spans="2:20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6045</v>
      </c>
      <c r="K17" s="14">
        <f t="shared" si="4"/>
        <v>0</v>
      </c>
      <c r="L17" s="16">
        <f t="shared" si="4"/>
        <v>20</v>
      </c>
      <c r="O17" s="1">
        <f>5310-206+19+83+36</f>
        <v>5242</v>
      </c>
      <c r="Q17" s="1">
        <f>68-52</f>
        <v>16</v>
      </c>
    </row>
    <row r="18" spans="2:20" x14ac:dyDescent="0.25">
      <c r="B18" s="1"/>
      <c r="C18" s="1" t="s">
        <v>102</v>
      </c>
      <c r="D18" s="9">
        <v>130</v>
      </c>
      <c r="E18" s="36">
        <f>'Październik25- wydatki'!$D18-F18</f>
        <v>0</v>
      </c>
      <c r="F18" s="2">
        <v>130</v>
      </c>
    </row>
    <row r="19" spans="2:20" x14ac:dyDescent="0.25">
      <c r="B19" s="19"/>
      <c r="C19" s="9" t="s">
        <v>48</v>
      </c>
      <c r="D19" s="9">
        <v>350</v>
      </c>
      <c r="E19" s="36">
        <f>'Październik25- wydatki'!$D19-F19</f>
        <v>0</v>
      </c>
      <c r="F19" s="5">
        <v>350</v>
      </c>
      <c r="H19" s="95" t="s">
        <v>49</v>
      </c>
      <c r="I19" s="96"/>
      <c r="J19" s="96"/>
      <c r="K19" s="96"/>
      <c r="L19" s="97"/>
    </row>
    <row r="20" spans="2:20" x14ac:dyDescent="0.25">
      <c r="B20" s="19"/>
      <c r="C20" s="9" t="s">
        <v>50</v>
      </c>
      <c r="D20" s="9"/>
      <c r="E20" s="36">
        <f>'Październik25-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20" ht="15.75" customHeight="1" x14ac:dyDescent="0.25">
      <c r="B21" s="13"/>
      <c r="C21" s="14" t="s">
        <v>41</v>
      </c>
      <c r="D21" s="14">
        <f t="shared" ref="D21:F21" si="5">SUM(D18:D20)</f>
        <v>480</v>
      </c>
      <c r="E21" s="37">
        <f t="shared" si="5"/>
        <v>0</v>
      </c>
      <c r="F21" s="16">
        <f t="shared" si="5"/>
        <v>480</v>
      </c>
      <c r="H21" s="31">
        <v>6</v>
      </c>
      <c r="I21" s="2" t="s">
        <v>51</v>
      </c>
      <c r="J21" s="9">
        <v>1167</v>
      </c>
      <c r="K21" s="2"/>
      <c r="L21" s="2"/>
      <c r="P21" s="1"/>
      <c r="Q21" s="1"/>
      <c r="R21" s="1"/>
      <c r="S21" s="1"/>
    </row>
    <row r="22" spans="2:20" ht="15.75" customHeight="1" x14ac:dyDescent="0.25">
      <c r="H22" s="31">
        <v>15</v>
      </c>
      <c r="I22" s="2" t="s">
        <v>52</v>
      </c>
      <c r="J22" s="9">
        <v>200</v>
      </c>
      <c r="K22" s="2"/>
      <c r="L22" s="2"/>
      <c r="O22" s="1"/>
      <c r="S22" s="1"/>
    </row>
    <row r="23" spans="2:20" ht="15.75" customHeight="1" x14ac:dyDescent="0.25">
      <c r="B23" s="98" t="s">
        <v>53</v>
      </c>
      <c r="C23" s="96"/>
      <c r="D23" s="96"/>
      <c r="E23" s="96"/>
      <c r="F23" s="97"/>
      <c r="H23" s="31">
        <v>16</v>
      </c>
      <c r="I23" s="2" t="s">
        <v>54</v>
      </c>
      <c r="J23" s="9">
        <v>100</v>
      </c>
      <c r="K23" s="2"/>
      <c r="L23" s="2"/>
    </row>
    <row r="24" spans="2:20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118</v>
      </c>
      <c r="J24" s="9">
        <v>1100</v>
      </c>
      <c r="K24" s="2"/>
      <c r="L24" s="2"/>
      <c r="O24" s="1"/>
    </row>
    <row r="25" spans="2:20" ht="15.75" customHeight="1" x14ac:dyDescent="0.25">
      <c r="B25" s="8">
        <v>10</v>
      </c>
      <c r="C25" s="9" t="s">
        <v>56</v>
      </c>
      <c r="D25" s="9">
        <v>50</v>
      </c>
      <c r="E25" s="21">
        <f t="shared" ref="E25:E34" si="6">D25-F25</f>
        <v>0</v>
      </c>
      <c r="F25" s="5">
        <v>50</v>
      </c>
      <c r="H25" s="9"/>
      <c r="I25" s="2" t="s">
        <v>119</v>
      </c>
      <c r="J25" s="9">
        <v>50</v>
      </c>
      <c r="K25" s="2"/>
      <c r="L25" s="2"/>
    </row>
    <row r="26" spans="2:20" ht="15.75" customHeight="1" x14ac:dyDescent="0.25">
      <c r="B26" s="19"/>
      <c r="C26" s="9" t="s">
        <v>107</v>
      </c>
      <c r="D26" s="9">
        <v>69</v>
      </c>
      <c r="E26" s="21">
        <f t="shared" si="6"/>
        <v>0</v>
      </c>
      <c r="F26" s="5">
        <v>69</v>
      </c>
      <c r="H26" s="31">
        <v>21</v>
      </c>
      <c r="I26" s="2" t="s">
        <v>59</v>
      </c>
      <c r="J26" s="9">
        <v>400</v>
      </c>
      <c r="K26" s="2"/>
      <c r="L26" s="2"/>
      <c r="S26" s="1"/>
      <c r="T26" s="1"/>
    </row>
    <row r="27" spans="2:20" ht="15.75" customHeight="1" x14ac:dyDescent="0.25">
      <c r="B27" s="19"/>
      <c r="C27" s="9" t="s">
        <v>109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350</v>
      </c>
      <c r="K27" s="2"/>
      <c r="L27" s="2"/>
      <c r="S27" s="1"/>
      <c r="T27" s="1"/>
    </row>
    <row r="28" spans="2:20" ht="15.75" customHeight="1" x14ac:dyDescent="0.25">
      <c r="B28" s="22">
        <v>23</v>
      </c>
      <c r="C28" s="9" t="s">
        <v>62</v>
      </c>
      <c r="D28" s="9">
        <v>54</v>
      </c>
      <c r="E28" s="21">
        <f t="shared" si="6"/>
        <v>0</v>
      </c>
      <c r="F28" s="23">
        <v>54</v>
      </c>
      <c r="H28" s="32">
        <v>31</v>
      </c>
      <c r="I28" s="2" t="s">
        <v>111</v>
      </c>
      <c r="J28" s="9">
        <v>16</v>
      </c>
      <c r="K28" s="2"/>
      <c r="L28" s="1"/>
    </row>
    <row r="29" spans="2:20" ht="15.75" customHeight="1" x14ac:dyDescent="0.25">
      <c r="B29" s="19"/>
      <c r="C29" s="9"/>
      <c r="D29" s="9"/>
      <c r="E29" s="21">
        <f t="shared" si="6"/>
        <v>0</v>
      </c>
      <c r="F29" s="5"/>
      <c r="H29" s="33"/>
      <c r="I29" s="34" t="s">
        <v>41</v>
      </c>
      <c r="J29" s="34">
        <f>SUM(J21:J28)</f>
        <v>3383</v>
      </c>
      <c r="K29" s="34">
        <f t="shared" ref="K29:L29" si="7">SUM(K21:K27)</f>
        <v>0</v>
      </c>
      <c r="L29" s="35">
        <f t="shared" si="7"/>
        <v>0</v>
      </c>
    </row>
    <row r="30" spans="2:20" ht="15.75" customHeight="1" x14ac:dyDescent="0.25">
      <c r="B30" s="17"/>
      <c r="C30" s="2" t="s">
        <v>65</v>
      </c>
      <c r="D30" s="2"/>
      <c r="E30" s="21">
        <f t="shared" si="6"/>
        <v>0</v>
      </c>
      <c r="F30" s="23"/>
      <c r="S30" s="1"/>
      <c r="T30" s="1"/>
    </row>
    <row r="31" spans="2:20" ht="15.75" customHeight="1" x14ac:dyDescent="0.25">
      <c r="B31" s="19"/>
      <c r="C31" s="9" t="s">
        <v>66</v>
      </c>
      <c r="D31" s="9">
        <v>100</v>
      </c>
      <c r="E31" s="21">
        <f t="shared" si="6"/>
        <v>100</v>
      </c>
      <c r="F31" s="5"/>
      <c r="H31" s="95" t="s">
        <v>67</v>
      </c>
      <c r="I31" s="96"/>
      <c r="J31" s="96"/>
      <c r="K31" s="96"/>
      <c r="L31" s="97"/>
    </row>
    <row r="32" spans="2:20" ht="15.75" customHeight="1" x14ac:dyDescent="0.25">
      <c r="B32" s="17"/>
      <c r="C32" s="1"/>
      <c r="D32" s="1"/>
      <c r="E32" s="21">
        <f t="shared" si="6"/>
        <v>0</v>
      </c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>
        <v>30</v>
      </c>
      <c r="C33" s="9" t="s">
        <v>90</v>
      </c>
      <c r="D33" s="9">
        <v>105</v>
      </c>
      <c r="E33" s="21">
        <f t="shared" si="6"/>
        <v>0</v>
      </c>
      <c r="F33" s="5">
        <v>105</v>
      </c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 t="s">
        <v>98</v>
      </c>
      <c r="D34" s="1">
        <v>50</v>
      </c>
      <c r="E34" s="21">
        <f t="shared" si="6"/>
        <v>0</v>
      </c>
      <c r="F34" s="23">
        <f>30+20</f>
        <v>50</v>
      </c>
      <c r="H34" s="9"/>
      <c r="I34" s="2" t="s">
        <v>120</v>
      </c>
      <c r="J34" s="9"/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8">SUM(D25:D34)</f>
        <v>428</v>
      </c>
      <c r="E35" s="26">
        <f t="shared" si="8"/>
        <v>100</v>
      </c>
      <c r="F35" s="27">
        <f t="shared" si="8"/>
        <v>328</v>
      </c>
      <c r="H35" s="31">
        <v>24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29</v>
      </c>
      <c r="I36" s="2" t="s">
        <v>122</v>
      </c>
      <c r="J36" s="9">
        <v>100</v>
      </c>
      <c r="K36" s="2"/>
      <c r="L36" s="2"/>
    </row>
    <row r="37" spans="2:12" ht="15.75" customHeight="1" x14ac:dyDescent="0.25">
      <c r="C37" s="1" t="s">
        <v>87</v>
      </c>
      <c r="D37" s="28">
        <f>E35+E21+E14</f>
        <v>100.12000000000012</v>
      </c>
      <c r="E37" s="28">
        <v>0</v>
      </c>
      <c r="H37" s="9"/>
      <c r="I37" s="2" t="s">
        <v>123</v>
      </c>
      <c r="J37" s="9">
        <v>95</v>
      </c>
      <c r="K37" s="2"/>
      <c r="L37" s="2"/>
    </row>
    <row r="38" spans="2:12" ht="15.75" customHeight="1" x14ac:dyDescent="0.25">
      <c r="C38" s="1" t="s">
        <v>99</v>
      </c>
      <c r="D38" s="29"/>
      <c r="E38" s="1"/>
      <c r="F38" s="1"/>
      <c r="H38" s="31">
        <v>26</v>
      </c>
      <c r="I38" s="2" t="s">
        <v>116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E37+E38+D37</f>
        <v>100.12000000000012</v>
      </c>
      <c r="H39" s="9"/>
      <c r="I39" s="2"/>
      <c r="J39" s="9"/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245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5083</v>
      </c>
      <c r="J43" s="1">
        <f>J41+J29+J17</f>
        <v>9673</v>
      </c>
      <c r="K43" s="1">
        <f>J43+I43</f>
        <v>14756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38" priority="1" operator="lessThan">
      <formula>0</formula>
    </cfRule>
    <cfRule type="cellIs" dxfId="37" priority="2" operator="greaterThan">
      <formula>0</formula>
    </cfRule>
    <cfRule type="cellIs" dxfId="36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5300</v>
      </c>
      <c r="P3" s="2">
        <f t="shared" ref="P3:P5" si="0">Q3+R3+S3</f>
        <v>4495</v>
      </c>
      <c r="Q3" s="2">
        <f>D14</f>
        <v>4175</v>
      </c>
      <c r="R3" s="2">
        <f>D21</f>
        <v>100</v>
      </c>
      <c r="S3" s="2">
        <f>D35</f>
        <v>220</v>
      </c>
      <c r="T3" s="7">
        <f t="shared" ref="T3:T4" si="1">O3-P3</f>
        <v>805</v>
      </c>
    </row>
    <row r="4" spans="1:20" x14ac:dyDescent="0.25">
      <c r="B4" s="8">
        <v>2</v>
      </c>
      <c r="C4" s="9" t="s">
        <v>15</v>
      </c>
      <c r="D4" s="9">
        <v>85</v>
      </c>
      <c r="E4" s="10">
        <f>'Wrzesień25- wydatki'!$D4-'Wrzesień25-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v>7912</v>
      </c>
      <c r="P4" s="2">
        <f t="shared" si="0"/>
        <v>8717</v>
      </c>
      <c r="Q4" s="2">
        <f>J17</f>
        <v>6050</v>
      </c>
      <c r="R4" s="2">
        <f>J29</f>
        <v>1917</v>
      </c>
      <c r="S4" s="2">
        <f>J41</f>
        <v>750</v>
      </c>
      <c r="T4" s="7">
        <f t="shared" si="1"/>
        <v>-805</v>
      </c>
    </row>
    <row r="5" spans="1:20" x14ac:dyDescent="0.25">
      <c r="B5" s="8">
        <v>4</v>
      </c>
      <c r="C5" s="9" t="s">
        <v>18</v>
      </c>
      <c r="D5" s="9">
        <v>40</v>
      </c>
      <c r="E5" s="10">
        <f>'Wrzesień25- wydatki'!$D5-'Wrzesień25- wydatki'!$F5</f>
        <v>0</v>
      </c>
      <c r="F5" s="5"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13212</v>
      </c>
      <c r="Q5" s="2">
        <f t="shared" ref="Q5:S5" si="2">Q3+Q4</f>
        <v>10225</v>
      </c>
      <c r="R5" s="2">
        <f t="shared" si="2"/>
        <v>2017</v>
      </c>
      <c r="S5" s="2">
        <f t="shared" si="2"/>
        <v>970</v>
      </c>
      <c r="T5" s="12"/>
    </row>
    <row r="6" spans="1:20" x14ac:dyDescent="0.25">
      <c r="B6" s="8">
        <v>5</v>
      </c>
      <c r="C6" s="9" t="s">
        <v>20</v>
      </c>
      <c r="D6" s="9">
        <v>800</v>
      </c>
      <c r="E6" s="10">
        <f>'Wrzesień25- wydatki'!$D6-'Wrzesień25- wydatki'!$F6</f>
        <v>0</v>
      </c>
      <c r="F6" s="5">
        <f>95+98+215+248+99+45</f>
        <v>800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10">
        <f>'Wrzesień25- wydatki'!$D7-'Wrzesień25- wydatki'!$F7</f>
        <v>-0.25999999999999091</v>
      </c>
      <c r="F7" s="5">
        <f>214+5.5+18.78+72.15+20.87+55+52+8.99+15.87+15.12+14.02+13.66+198.25+21.81+49.24+25</f>
        <v>800.26</v>
      </c>
      <c r="G7" s="2"/>
      <c r="H7" s="31">
        <v>9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'Wrzesień25- wydatki'!$D8-F8</f>
        <v>0</v>
      </c>
      <c r="F8" s="5">
        <v>300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</f>
        <v>4217</v>
      </c>
      <c r="Q8" s="1" t="s">
        <v>124</v>
      </c>
      <c r="R8" s="1"/>
    </row>
    <row r="9" spans="1:20" x14ac:dyDescent="0.25">
      <c r="B9" s="8">
        <v>12</v>
      </c>
      <c r="C9" s="9" t="s">
        <v>29</v>
      </c>
      <c r="D9" s="9">
        <v>100</v>
      </c>
      <c r="E9" s="10">
        <f>'Wrzesień25- wydatki'!$D9-'Wrzesień25- wydatki'!$F9</f>
        <v>0</v>
      </c>
      <c r="F9" s="5">
        <f>9+8+4+4+59+16</f>
        <v>100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6660+1230+100+10+1000+1000</f>
        <v>10000</v>
      </c>
      <c r="Q9" s="1" t="s">
        <v>125</v>
      </c>
    </row>
    <row r="10" spans="1:20" x14ac:dyDescent="0.25">
      <c r="B10" s="8">
        <v>15</v>
      </c>
      <c r="C10" s="9" t="s">
        <v>33</v>
      </c>
      <c r="D10" s="9">
        <v>500</v>
      </c>
      <c r="E10" s="10">
        <f>'Wrzesień25- wydatki'!$D10-'Wrzesień25- wydatki'!$F10</f>
        <v>0</v>
      </c>
      <c r="F10" s="5">
        <v>500</v>
      </c>
      <c r="G10" s="2"/>
      <c r="H10" s="31">
        <v>13</v>
      </c>
      <c r="I10" s="9" t="s">
        <v>34</v>
      </c>
      <c r="J10" s="9">
        <v>55</v>
      </c>
      <c r="K10" s="2"/>
      <c r="L10" s="2"/>
      <c r="O10" s="1" t="s">
        <v>35</v>
      </c>
      <c r="P10" s="1">
        <f>127+100+152+173+163</f>
        <v>715</v>
      </c>
      <c r="Q10" s="1" t="s">
        <v>125</v>
      </c>
    </row>
    <row r="11" spans="1:20" x14ac:dyDescent="0.25">
      <c r="B11" s="8">
        <v>17</v>
      </c>
      <c r="C11" s="9" t="s">
        <v>36</v>
      </c>
      <c r="D11" s="9">
        <v>50</v>
      </c>
      <c r="E11" s="10">
        <f>'Wrzesień25- wydatki'!$D11-'Wrzesień25- wydatki'!$F11</f>
        <v>0</v>
      </c>
      <c r="F11" s="5">
        <v>50</v>
      </c>
      <c r="G11" s="2"/>
      <c r="H11" s="31">
        <v>14</v>
      </c>
      <c r="I11" s="9" t="s">
        <v>37</v>
      </c>
      <c r="J11" s="9">
        <v>100</v>
      </c>
      <c r="K11" s="2"/>
      <c r="L11" s="2"/>
      <c r="P11" s="1">
        <f>P8+P9+P10</f>
        <v>14932</v>
      </c>
    </row>
    <row r="12" spans="1:20" x14ac:dyDescent="0.25">
      <c r="B12" s="8">
        <v>21</v>
      </c>
      <c r="C12" s="9" t="s">
        <v>38</v>
      </c>
      <c r="D12" s="9">
        <v>1000</v>
      </c>
      <c r="E12" s="10">
        <f>'Wrzesień25- wydatki'!$D12-'Wrzesień25- wydatki'!$F12</f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1510+500+500+500-900-370+330-20</f>
        <v>2050</v>
      </c>
      <c r="Q12" s="1" t="s">
        <v>126</v>
      </c>
    </row>
    <row r="13" spans="1:20" x14ac:dyDescent="0.25">
      <c r="B13" s="8">
        <v>22</v>
      </c>
      <c r="C13" s="9" t="s">
        <v>40</v>
      </c>
      <c r="D13" s="9">
        <v>500</v>
      </c>
      <c r="E13" s="10">
        <f>'Wrzesień25- wydatki'!$D13-'Wrzesień25- wydatki'!$F13</f>
        <v>0</v>
      </c>
      <c r="F13" s="5">
        <f>310+25+61+23+81</f>
        <v>500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4175</v>
      </c>
      <c r="E14" s="15">
        <f t="shared" si="3"/>
        <v>-0.25999999999999091</v>
      </c>
      <c r="F14" s="16">
        <f t="shared" si="3"/>
        <v>4175.26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26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6050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26" x14ac:dyDescent="0.25">
      <c r="B18" s="1"/>
      <c r="C18" s="1" t="s">
        <v>127</v>
      </c>
      <c r="D18" s="9">
        <v>100</v>
      </c>
      <c r="E18" s="36">
        <f>'Wrzesień25- wydatki'!$D18-F18</f>
        <v>0</v>
      </c>
      <c r="F18" s="2">
        <v>100</v>
      </c>
    </row>
    <row r="19" spans="2:26" x14ac:dyDescent="0.25">
      <c r="B19" s="19"/>
      <c r="C19" s="9" t="s">
        <v>48</v>
      </c>
      <c r="D19" s="9"/>
      <c r="E19" s="36">
        <f>'Wrzesień25- wydatki'!$D19-F19</f>
        <v>0</v>
      </c>
      <c r="F19" s="5"/>
      <c r="H19" s="95" t="s">
        <v>49</v>
      </c>
      <c r="I19" s="96"/>
      <c r="J19" s="96"/>
      <c r="K19" s="96"/>
      <c r="L19" s="97"/>
    </row>
    <row r="20" spans="2:26" x14ac:dyDescent="0.25">
      <c r="B20" s="19"/>
      <c r="C20" s="9" t="s">
        <v>50</v>
      </c>
      <c r="D20" s="9"/>
      <c r="E20" s="36">
        <f>'Wrzesień25-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26" ht="15.75" customHeight="1" x14ac:dyDescent="0.25">
      <c r="B21" s="13"/>
      <c r="C21" s="14" t="s">
        <v>41</v>
      </c>
      <c r="D21" s="14">
        <f t="shared" ref="D21:F21" si="5">SUM(D18:D20)</f>
        <v>100</v>
      </c>
      <c r="E21" s="37">
        <f t="shared" si="5"/>
        <v>0</v>
      </c>
      <c r="F21" s="16">
        <f t="shared" si="5"/>
        <v>100</v>
      </c>
      <c r="H21" s="31">
        <v>6</v>
      </c>
      <c r="I21" s="2" t="s">
        <v>51</v>
      </c>
      <c r="J21" s="9">
        <v>1167</v>
      </c>
      <c r="K21" s="2"/>
      <c r="L21" s="2"/>
      <c r="P21" s="1"/>
      <c r="Q21" s="1"/>
      <c r="R21" s="1"/>
      <c r="S21" s="1"/>
    </row>
    <row r="22" spans="2:26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O22" s="1"/>
      <c r="S22" s="1"/>
    </row>
    <row r="23" spans="2:26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100</v>
      </c>
      <c r="K23" s="2"/>
      <c r="L23" s="2"/>
    </row>
    <row r="24" spans="2:26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128</v>
      </c>
      <c r="J24" s="9">
        <v>50</v>
      </c>
      <c r="K24" s="2"/>
      <c r="L24" s="2"/>
      <c r="O24" s="1"/>
    </row>
    <row r="25" spans="2:26" ht="15.75" customHeight="1" x14ac:dyDescent="0.25">
      <c r="B25" s="8">
        <v>8</v>
      </c>
      <c r="C25" s="9" t="s">
        <v>56</v>
      </c>
      <c r="D25" s="9">
        <v>50</v>
      </c>
      <c r="E25" s="21">
        <f t="shared" ref="E25:E30" si="6">D25-F25</f>
        <v>0</v>
      </c>
      <c r="F25" s="5">
        <f>30+20</f>
        <v>50</v>
      </c>
      <c r="H25" s="9"/>
      <c r="I25" s="2" t="s">
        <v>129</v>
      </c>
      <c r="J25" s="9"/>
      <c r="K25" s="2"/>
      <c r="L25" s="2"/>
      <c r="R25" s="1" t="s">
        <v>130</v>
      </c>
      <c r="S25" s="1">
        <v>44.48</v>
      </c>
    </row>
    <row r="26" spans="2:26" ht="15.75" customHeight="1" x14ac:dyDescent="0.25">
      <c r="B26" s="19"/>
      <c r="C26" s="9" t="s">
        <v>107</v>
      </c>
      <c r="D26" s="9"/>
      <c r="E26" s="21">
        <f t="shared" si="6"/>
        <v>0</v>
      </c>
      <c r="F26" s="5"/>
      <c r="H26" s="31">
        <v>21</v>
      </c>
      <c r="I26" s="2" t="s">
        <v>59</v>
      </c>
      <c r="J26" s="9"/>
      <c r="K26" s="2"/>
      <c r="L26" s="2"/>
      <c r="R26" s="1" t="s">
        <v>130</v>
      </c>
      <c r="S26" s="1">
        <v>61.7</v>
      </c>
    </row>
    <row r="27" spans="2:26" ht="15.75" customHeight="1" x14ac:dyDescent="0.25">
      <c r="B27" s="19"/>
      <c r="C27" s="9" t="s">
        <v>109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400</v>
      </c>
      <c r="K27" s="2"/>
      <c r="L27" s="2"/>
    </row>
    <row r="28" spans="2:26" ht="15.75" customHeight="1" x14ac:dyDescent="0.25">
      <c r="B28" s="22">
        <v>23</v>
      </c>
      <c r="C28" s="9" t="s">
        <v>62</v>
      </c>
      <c r="D28" s="9">
        <v>70</v>
      </c>
      <c r="E28" s="21">
        <f t="shared" si="6"/>
        <v>0</v>
      </c>
      <c r="F28" s="23">
        <f>53+17</f>
        <v>70</v>
      </c>
      <c r="H28" s="1"/>
      <c r="I28" s="2"/>
      <c r="J28" s="9"/>
      <c r="K28" s="2"/>
      <c r="L28" s="1"/>
    </row>
    <row r="29" spans="2:26" ht="15.75" customHeight="1" x14ac:dyDescent="0.25">
      <c r="B29" s="19"/>
      <c r="C29" s="9" t="s">
        <v>131</v>
      </c>
      <c r="D29" s="9">
        <v>51</v>
      </c>
      <c r="E29" s="21">
        <f t="shared" si="6"/>
        <v>0</v>
      </c>
      <c r="F29" s="5">
        <v>51</v>
      </c>
      <c r="H29" s="33"/>
      <c r="I29" s="34" t="s">
        <v>41</v>
      </c>
      <c r="J29" s="34">
        <f>SUM(J21:J28)</f>
        <v>1917</v>
      </c>
      <c r="K29" s="34">
        <f t="shared" ref="K29:L29" si="7">SUM(K21:K27)</f>
        <v>0</v>
      </c>
      <c r="L29" s="35">
        <f t="shared" si="7"/>
        <v>0</v>
      </c>
      <c r="R29" s="1" t="s">
        <v>21</v>
      </c>
      <c r="S29" s="1">
        <v>44.48</v>
      </c>
      <c r="T29" s="1">
        <v>32.83</v>
      </c>
      <c r="U29" s="1">
        <v>22.39</v>
      </c>
      <c r="V29" s="1">
        <v>5.58</v>
      </c>
      <c r="W29" s="1">
        <v>42.08</v>
      </c>
      <c r="X29" s="1">
        <v>101.64</v>
      </c>
      <c r="Y29" s="1">
        <v>19.989999999999998</v>
      </c>
      <c r="Z29" s="1">
        <v>36.83</v>
      </c>
    </row>
    <row r="30" spans="2:26" ht="15.75" customHeight="1" x14ac:dyDescent="0.25">
      <c r="B30" s="17"/>
      <c r="C30" s="2" t="s">
        <v>65</v>
      </c>
      <c r="D30" s="2">
        <v>49</v>
      </c>
      <c r="E30" s="21">
        <f t="shared" si="6"/>
        <v>0</v>
      </c>
      <c r="F30" s="23">
        <v>49</v>
      </c>
    </row>
    <row r="31" spans="2:26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26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>
        <v>90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120</v>
      </c>
      <c r="J34" s="9">
        <v>110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8">SUM(D25:D34)</f>
        <v>220</v>
      </c>
      <c r="E35" s="26">
        <f t="shared" si="8"/>
        <v>0</v>
      </c>
      <c r="F35" s="27">
        <f>SUM(F25:F30)</f>
        <v>220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132</v>
      </c>
      <c r="J36" s="9">
        <v>230</v>
      </c>
      <c r="K36" s="2"/>
      <c r="L36" s="2"/>
    </row>
    <row r="37" spans="2:12" ht="15.75" customHeight="1" x14ac:dyDescent="0.25">
      <c r="C37" s="1" t="s">
        <v>87</v>
      </c>
      <c r="D37" s="28">
        <f>E35+E21+E14</f>
        <v>-0.25999999999999091</v>
      </c>
      <c r="E37" s="28">
        <v>0</v>
      </c>
      <c r="H37" s="9"/>
      <c r="I37" s="2" t="s">
        <v>118</v>
      </c>
      <c r="J37" s="9">
        <v>100</v>
      </c>
      <c r="K37" s="2"/>
      <c r="L37" s="2"/>
    </row>
    <row r="38" spans="2:12" ht="15.75" customHeight="1" x14ac:dyDescent="0.25">
      <c r="C38" s="1" t="s">
        <v>99</v>
      </c>
      <c r="D38" s="29"/>
      <c r="E38" s="1">
        <v>169</v>
      </c>
      <c r="F38" s="1"/>
      <c r="H38" s="31">
        <v>26</v>
      </c>
      <c r="I38" s="2" t="s">
        <v>116</v>
      </c>
      <c r="J38" s="9">
        <v>70</v>
      </c>
      <c r="K38" s="2"/>
      <c r="L38" s="2"/>
    </row>
    <row r="39" spans="2:12" ht="15.75" customHeight="1" x14ac:dyDescent="0.25">
      <c r="C39" s="1" t="s">
        <v>79</v>
      </c>
      <c r="E39" s="28">
        <f>E37+E38+D37</f>
        <v>168.74</v>
      </c>
      <c r="H39" s="9"/>
      <c r="I39" s="2" t="s">
        <v>133</v>
      </c>
      <c r="J39" s="9">
        <v>100</v>
      </c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750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4495</v>
      </c>
      <c r="J43" s="1">
        <f>J41+J29+J17</f>
        <v>8717</v>
      </c>
      <c r="K43" s="1">
        <f>J43+I43</f>
        <v>13212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35" priority="1" operator="lessThan">
      <formula>0</formula>
    </cfRule>
    <cfRule type="cellIs" dxfId="34" priority="2" operator="greaterThan">
      <formula>0</formula>
    </cfRule>
    <cfRule type="cellIs" dxfId="33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f>5379+295</f>
        <v>5674</v>
      </c>
      <c r="P3" s="2">
        <f t="shared" ref="P3:P5" si="0">Q3+R3+S3</f>
        <v>4857</v>
      </c>
      <c r="Q3" s="2">
        <f>D14</f>
        <v>4075</v>
      </c>
      <c r="R3" s="2">
        <f>D21</f>
        <v>553</v>
      </c>
      <c r="S3" s="2">
        <f>D35</f>
        <v>229</v>
      </c>
      <c r="T3" s="7">
        <f t="shared" ref="T3:T4" si="1">O3-P3</f>
        <v>817</v>
      </c>
    </row>
    <row r="4" spans="1:20" x14ac:dyDescent="0.25">
      <c r="B4" s="8">
        <v>2</v>
      </c>
      <c r="C4" s="9" t="s">
        <v>15</v>
      </c>
      <c r="D4" s="9">
        <v>85</v>
      </c>
      <c r="E4" s="10">
        <f>'Sierpień25 - wydatki'!$D4-'Sierpień25 -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f>7755+447</f>
        <v>8202</v>
      </c>
      <c r="P4" s="2">
        <f t="shared" si="0"/>
        <v>9019</v>
      </c>
      <c r="Q4" s="2">
        <f>J17</f>
        <v>6045</v>
      </c>
      <c r="R4" s="2">
        <f>J29</f>
        <v>2529</v>
      </c>
      <c r="S4" s="2">
        <f>J41</f>
        <v>445</v>
      </c>
      <c r="T4" s="7">
        <f t="shared" si="1"/>
        <v>-817</v>
      </c>
    </row>
    <row r="5" spans="1:20" x14ac:dyDescent="0.25">
      <c r="B5" s="8">
        <v>4</v>
      </c>
      <c r="C5" s="9" t="s">
        <v>18</v>
      </c>
      <c r="D5" s="9">
        <v>40</v>
      </c>
      <c r="E5" s="10">
        <f>'Sierpień25 - wydatki'!$D5-'Sierpień25 - wydatki'!$F5</f>
        <v>0</v>
      </c>
      <c r="F5" s="5">
        <v>40</v>
      </c>
      <c r="G5" s="2"/>
      <c r="H5" s="31">
        <v>3</v>
      </c>
      <c r="I5" s="9" t="s">
        <v>19</v>
      </c>
      <c r="J5" s="9">
        <v>140</v>
      </c>
      <c r="K5" s="2"/>
      <c r="L5" s="2"/>
      <c r="N5" s="2" t="s">
        <v>5</v>
      </c>
      <c r="O5" s="2" t="b">
        <f>K43=O3+O4</f>
        <v>1</v>
      </c>
      <c r="P5" s="2">
        <f t="shared" si="0"/>
        <v>13876</v>
      </c>
      <c r="Q5" s="2">
        <f t="shared" ref="Q5:S5" si="2">Q3+Q4</f>
        <v>10120</v>
      </c>
      <c r="R5" s="2">
        <f t="shared" si="2"/>
        <v>3082</v>
      </c>
      <c r="S5" s="2">
        <f t="shared" si="2"/>
        <v>674</v>
      </c>
      <c r="T5" s="12"/>
    </row>
    <row r="6" spans="1:20" x14ac:dyDescent="0.25">
      <c r="B6" s="8">
        <v>5</v>
      </c>
      <c r="C6" s="9" t="s">
        <v>20</v>
      </c>
      <c r="D6" s="9">
        <v>700</v>
      </c>
      <c r="E6" s="10">
        <f>'Sierpień25 - wydatki'!$D6-'Sierpień25 - wydatki'!$F6</f>
        <v>-0.25</v>
      </c>
      <c r="F6" s="5">
        <f>75+102+280+2+70.25+171</f>
        <v>700.25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10">
        <f>'Sierpień25 - wydatki'!$D7-'Sierpień25 - wydatki'!$F7</f>
        <v>0</v>
      </c>
      <c r="F7" s="5">
        <f>31.5+45.92+24.17+35.71+11.59+1.49+39.43+8.68+68.24+19.47+97.07+42.53+117.5+35.13+47.52+122.78+65.91+6.59+6.59-28+0.18</f>
        <v>800</v>
      </c>
      <c r="G7" s="2"/>
      <c r="H7" s="31">
        <v>9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10">
        <f>'Sierpień25 - wydatki'!$D8-F8</f>
        <v>0</v>
      </c>
      <c r="F8" s="5">
        <f>127+173</f>
        <v>300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4230+261+318-1650+300-223+300-250+250+228+453</f>
        <v>4217</v>
      </c>
      <c r="Q8" s="1" t="s">
        <v>124</v>
      </c>
      <c r="R8" s="1"/>
    </row>
    <row r="9" spans="1:20" x14ac:dyDescent="0.25">
      <c r="B9" s="8">
        <v>12</v>
      </c>
      <c r="C9" s="9" t="s">
        <v>29</v>
      </c>
      <c r="D9" s="9">
        <v>100</v>
      </c>
      <c r="E9" s="10">
        <f>'Sierpień25 - wydatki'!$D9-'Sierpień25 - wydatki'!$F9</f>
        <v>0.12000000000000455</v>
      </c>
      <c r="F9" s="5">
        <f>53.88+4+40+2</f>
        <v>99.88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6660+1230+100+10+1000</f>
        <v>9000</v>
      </c>
      <c r="Q9" s="1" t="s">
        <v>124</v>
      </c>
    </row>
    <row r="10" spans="1:20" x14ac:dyDescent="0.25">
      <c r="B10" s="8">
        <v>15</v>
      </c>
      <c r="C10" s="9" t="s">
        <v>33</v>
      </c>
      <c r="D10" s="9">
        <v>500</v>
      </c>
      <c r="E10" s="10">
        <f>'Sierpień25 - wydatki'!$D10-'Sierpień25 - wydatki'!$F10</f>
        <v>0</v>
      </c>
      <c r="F10" s="5">
        <v>500</v>
      </c>
      <c r="G10" s="2"/>
      <c r="H10" s="31">
        <v>13</v>
      </c>
      <c r="I10" s="9" t="s">
        <v>34</v>
      </c>
      <c r="J10" s="9">
        <v>50</v>
      </c>
      <c r="K10" s="2"/>
      <c r="L10" s="2"/>
      <c r="O10" s="1" t="s">
        <v>35</v>
      </c>
      <c r="P10" s="1">
        <f>127+100+152+173</f>
        <v>552</v>
      </c>
      <c r="Q10" s="1" t="s">
        <v>124</v>
      </c>
    </row>
    <row r="11" spans="1:20" x14ac:dyDescent="0.25">
      <c r="B11" s="8">
        <v>17</v>
      </c>
      <c r="C11" s="9" t="s">
        <v>36</v>
      </c>
      <c r="D11" s="9">
        <v>50</v>
      </c>
      <c r="E11" s="10">
        <f>'Sierpień25 - wydatki'!$D11-'Sierpień25 - wydatki'!$F11</f>
        <v>0</v>
      </c>
      <c r="F11" s="5">
        <v>50</v>
      </c>
      <c r="G11" s="2"/>
      <c r="H11" s="31">
        <v>14</v>
      </c>
      <c r="I11" s="9" t="s">
        <v>37</v>
      </c>
      <c r="J11" s="9">
        <v>100</v>
      </c>
      <c r="K11" s="2"/>
      <c r="L11" s="2"/>
      <c r="P11" s="1">
        <f>P8+P9+P10</f>
        <v>13769</v>
      </c>
    </row>
    <row r="12" spans="1:20" x14ac:dyDescent="0.25">
      <c r="B12" s="8">
        <v>21</v>
      </c>
      <c r="C12" s="9" t="s">
        <v>38</v>
      </c>
      <c r="D12" s="9">
        <v>1000</v>
      </c>
      <c r="E12" s="10">
        <f>'Sierpień25 - wydatki'!$D12-'Sierpień25 - wydatki'!$F12</f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1510+500+500+500-900-370+330-20</f>
        <v>2050</v>
      </c>
      <c r="Q12" s="1" t="s">
        <v>126</v>
      </c>
    </row>
    <row r="13" spans="1:20" x14ac:dyDescent="0.25">
      <c r="B13" s="8">
        <v>22</v>
      </c>
      <c r="C13" s="9" t="s">
        <v>40</v>
      </c>
      <c r="D13" s="9">
        <v>500</v>
      </c>
      <c r="E13" s="10">
        <f>'Sierpień25 - wydatki'!$D13-'Sierpień25 - wydatki'!$F13</f>
        <v>0</v>
      </c>
      <c r="F13" s="5">
        <f>330+20+26+35+25+64</f>
        <v>500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4075</v>
      </c>
      <c r="E14" s="15">
        <f t="shared" si="3"/>
        <v>-0.12999999999999545</v>
      </c>
      <c r="F14" s="16">
        <f t="shared" si="3"/>
        <v>4075.13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6045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19" x14ac:dyDescent="0.25">
      <c r="B18" s="1"/>
      <c r="C18" s="1" t="s">
        <v>127</v>
      </c>
      <c r="D18" s="9">
        <v>100</v>
      </c>
      <c r="E18" s="36">
        <f>'Sierpień25 - wydatki'!$D18-F18</f>
        <v>0</v>
      </c>
      <c r="F18" s="2">
        <v>100</v>
      </c>
    </row>
    <row r="19" spans="2:19" x14ac:dyDescent="0.25">
      <c r="B19" s="19"/>
      <c r="C19" s="9" t="s">
        <v>48</v>
      </c>
      <c r="D19" s="9">
        <v>453</v>
      </c>
      <c r="E19" s="36">
        <f>'Sierpień25 - wydatki'!$D19-F19</f>
        <v>0</v>
      </c>
      <c r="F19" s="5">
        <v>453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>'Sierpień25 -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5">SUM(D18:D20)</f>
        <v>553</v>
      </c>
      <c r="E21" s="38">
        <f t="shared" si="5"/>
        <v>0</v>
      </c>
      <c r="F21" s="16">
        <f t="shared" si="5"/>
        <v>553</v>
      </c>
      <c r="H21" s="31">
        <v>6</v>
      </c>
      <c r="I21" s="2" t="s">
        <v>51</v>
      </c>
      <c r="J21" s="9">
        <v>984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O22" s="1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100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134</v>
      </c>
      <c r="J24" s="9">
        <v>200</v>
      </c>
      <c r="K24" s="2"/>
      <c r="L24" s="2"/>
      <c r="O24" s="1"/>
    </row>
    <row r="25" spans="2:19" ht="15.75" customHeight="1" x14ac:dyDescent="0.25">
      <c r="B25" s="8">
        <v>8</v>
      </c>
      <c r="C25" s="9" t="s">
        <v>56</v>
      </c>
      <c r="D25" s="9">
        <v>60</v>
      </c>
      <c r="E25" s="21">
        <f t="shared" ref="E25:E29" si="6">D25-F25</f>
        <v>0</v>
      </c>
      <c r="F25" s="5">
        <f>20+20+10+10</f>
        <v>60</v>
      </c>
      <c r="H25" s="9"/>
      <c r="I25" s="2" t="s">
        <v>129</v>
      </c>
      <c r="J25" s="9">
        <v>100</v>
      </c>
      <c r="K25" s="2"/>
      <c r="L25" s="2"/>
    </row>
    <row r="26" spans="2:19" ht="15.75" customHeight="1" x14ac:dyDescent="0.25">
      <c r="B26" s="19"/>
      <c r="C26" s="9" t="s">
        <v>107</v>
      </c>
      <c r="D26" s="9">
        <v>69</v>
      </c>
      <c r="E26" s="21">
        <f t="shared" si="6"/>
        <v>69</v>
      </c>
      <c r="F26" s="5"/>
      <c r="H26" s="31">
        <v>21</v>
      </c>
      <c r="I26" s="2" t="s">
        <v>59</v>
      </c>
      <c r="J26" s="9">
        <v>400</v>
      </c>
      <c r="K26" s="2"/>
      <c r="L26" s="2"/>
    </row>
    <row r="27" spans="2:19" ht="15.75" customHeight="1" x14ac:dyDescent="0.25">
      <c r="B27" s="19"/>
      <c r="C27" s="9" t="s">
        <v>109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400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1"/>
      <c r="I28" s="2" t="s">
        <v>135</v>
      </c>
      <c r="J28" s="9">
        <v>145</v>
      </c>
      <c r="K28" s="2"/>
      <c r="L28" s="1"/>
    </row>
    <row r="29" spans="2:19" ht="15.75" customHeight="1" x14ac:dyDescent="0.25">
      <c r="B29" s="19"/>
      <c r="C29" s="9" t="s">
        <v>136</v>
      </c>
      <c r="D29" s="9"/>
      <c r="E29" s="21">
        <f t="shared" si="6"/>
        <v>0</v>
      </c>
      <c r="F29" s="5"/>
      <c r="H29" s="33"/>
      <c r="I29" s="34" t="s">
        <v>41</v>
      </c>
      <c r="J29" s="34">
        <f>SUM(J21:J28)</f>
        <v>2529</v>
      </c>
      <c r="K29" s="34">
        <f t="shared" ref="K29:L29" si="7">SUM(K21:K27)</f>
        <v>0</v>
      </c>
      <c r="L29" s="35">
        <f t="shared" si="7"/>
        <v>0</v>
      </c>
    </row>
    <row r="30" spans="2:19" ht="15.75" customHeight="1" x14ac:dyDescent="0.25">
      <c r="B30" s="17"/>
      <c r="C30" s="2" t="s">
        <v>137</v>
      </c>
      <c r="D30" s="2"/>
      <c r="E30" s="21"/>
      <c r="F30" s="23"/>
    </row>
    <row r="31" spans="2:19" ht="15.75" customHeight="1" x14ac:dyDescent="0.25">
      <c r="B31" s="19"/>
      <c r="C31" s="9" t="s">
        <v>66</v>
      </c>
      <c r="D31" s="9">
        <v>100</v>
      </c>
      <c r="E31" s="36">
        <v>100</v>
      </c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138</v>
      </c>
      <c r="J34" s="9">
        <v>100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8">SUM(D25:D34)</f>
        <v>229</v>
      </c>
      <c r="E35" s="39">
        <f t="shared" si="8"/>
        <v>169</v>
      </c>
      <c r="F35" s="27">
        <f>SUM(F25:F30)</f>
        <v>60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139</v>
      </c>
      <c r="J36" s="9">
        <v>145</v>
      </c>
      <c r="K36" s="2"/>
      <c r="L36" s="2"/>
    </row>
    <row r="37" spans="2:12" ht="15.75" customHeight="1" x14ac:dyDescent="0.25">
      <c r="C37" s="1" t="s">
        <v>87</v>
      </c>
      <c r="D37" s="29">
        <f>E35+E21+E14</f>
        <v>168.87</v>
      </c>
      <c r="E37" s="28">
        <v>0</v>
      </c>
      <c r="H37" s="9"/>
      <c r="I37" s="2" t="s">
        <v>118</v>
      </c>
      <c r="J37" s="9">
        <v>100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E37+E38+D37</f>
        <v>168.87</v>
      </c>
      <c r="H39" s="9"/>
      <c r="I39" s="2" t="s">
        <v>119</v>
      </c>
      <c r="J39" s="9">
        <v>50</v>
      </c>
      <c r="K39" s="2"/>
      <c r="L39" s="2"/>
    </row>
    <row r="40" spans="2:12" ht="15.75" customHeight="1" x14ac:dyDescent="0.25">
      <c r="H40" s="1"/>
      <c r="I40" s="2" t="s">
        <v>141</v>
      </c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445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4857</v>
      </c>
      <c r="J43" s="1">
        <f>J41+J29+J17</f>
        <v>9019</v>
      </c>
      <c r="K43" s="1">
        <f>J43+I43</f>
        <v>13876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32" priority="1" operator="lessThan">
      <formula>0</formula>
    </cfRule>
    <cfRule type="cellIs" dxfId="31" priority="2" operator="greaterThan">
      <formula>0</formula>
    </cfRule>
    <cfRule type="cellIs" dxfId="30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5095</v>
      </c>
      <c r="P3" s="2">
        <f t="shared" ref="P3:P5" si="0">Q3+R3+S3</f>
        <v>5043</v>
      </c>
      <c r="Q3" s="2">
        <f>D14</f>
        <v>4455</v>
      </c>
      <c r="R3" s="2">
        <f>D21</f>
        <v>469</v>
      </c>
      <c r="S3" s="2">
        <f>D35</f>
        <v>119</v>
      </c>
      <c r="T3" s="7">
        <f t="shared" ref="T3:T4" si="1">O3-P3</f>
        <v>52</v>
      </c>
    </row>
    <row r="4" spans="1:20" x14ac:dyDescent="0.25">
      <c r="B4" s="8">
        <v>2</v>
      </c>
      <c r="C4" s="9" t="s">
        <v>15</v>
      </c>
      <c r="D4" s="9">
        <v>85</v>
      </c>
      <c r="E4" s="36">
        <f>'Lipiec25 - wydatki'!$D4-'Lipiec25 -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f>6554+2200</f>
        <v>8754</v>
      </c>
      <c r="P4" s="2">
        <f t="shared" si="0"/>
        <v>8806</v>
      </c>
      <c r="Q4" s="2">
        <f>J17</f>
        <v>6257</v>
      </c>
      <c r="R4" s="2">
        <f>J29</f>
        <v>2028</v>
      </c>
      <c r="S4" s="2">
        <f>J41</f>
        <v>521</v>
      </c>
      <c r="T4" s="7">
        <f t="shared" si="1"/>
        <v>-52</v>
      </c>
    </row>
    <row r="5" spans="1:20" x14ac:dyDescent="0.25">
      <c r="B5" s="8">
        <v>4</v>
      </c>
      <c r="C5" s="9" t="s">
        <v>18</v>
      </c>
      <c r="D5" s="9">
        <v>40</v>
      </c>
      <c r="E5" s="36">
        <f>'Lipiec25 - wydatki'!$D5-'Lipiec25 - wydatki'!$F5</f>
        <v>0</v>
      </c>
      <c r="F5" s="5">
        <v>40</v>
      </c>
      <c r="G5" s="2"/>
      <c r="H5" s="31">
        <v>3</v>
      </c>
      <c r="I5" s="9" t="s">
        <v>19</v>
      </c>
      <c r="J5" s="9">
        <f>134+68</f>
        <v>202</v>
      </c>
      <c r="K5" s="2"/>
      <c r="L5" s="2"/>
      <c r="N5" s="2" t="s">
        <v>5</v>
      </c>
      <c r="O5" s="2" t="b">
        <f>K43=O3+O4</f>
        <v>1</v>
      </c>
      <c r="P5" s="2">
        <f t="shared" si="0"/>
        <v>13849</v>
      </c>
      <c r="Q5" s="2">
        <f t="shared" ref="Q5:S5" si="2">Q3+Q4</f>
        <v>10712</v>
      </c>
      <c r="R5" s="2">
        <f t="shared" si="2"/>
        <v>2497</v>
      </c>
      <c r="S5" s="2">
        <f t="shared" si="2"/>
        <v>640</v>
      </c>
      <c r="T5" s="12"/>
    </row>
    <row r="6" spans="1:20" x14ac:dyDescent="0.25">
      <c r="B6" s="8">
        <v>5</v>
      </c>
      <c r="C6" s="9" t="s">
        <v>20</v>
      </c>
      <c r="D6" s="9">
        <v>700</v>
      </c>
      <c r="E6" s="36">
        <f>'Lipiec25 - wydatki'!$D6-'Lipiec25 - wydatki'!$F6</f>
        <v>0.47000000000002728</v>
      </c>
      <c r="F6" s="5">
        <f>87.53+300+305+82-75</f>
        <v>699.53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36">
        <f>'Lipiec25 - wydatki'!$D7-'Lipiec25 - wydatki'!$F7</f>
        <v>0</v>
      </c>
      <c r="F7" s="5">
        <f>12.8+105.62+26.22+29.93+2.8+60.78+2.5+12+27.85+111.56+23.42+9.98+52+6+3+136+44.19+174.21+37.94+6.61+9.55-94.96</f>
        <v>800.00000000000011</v>
      </c>
      <c r="G7" s="2"/>
      <c r="H7" s="31">
        <v>9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5</v>
      </c>
      <c r="C8" s="9" t="s">
        <v>24</v>
      </c>
      <c r="D8" s="9">
        <v>300</v>
      </c>
      <c r="E8" s="36">
        <f>'Lipiec25 - wydatki'!$D8-F8</f>
        <v>0</v>
      </c>
      <c r="F8" s="5">
        <f>148+152</f>
        <v>300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</f>
        <v>3764</v>
      </c>
      <c r="Q8" s="1" t="s">
        <v>142</v>
      </c>
      <c r="R8" s="1"/>
    </row>
    <row r="9" spans="1:20" x14ac:dyDescent="0.25">
      <c r="B9" s="8">
        <v>12</v>
      </c>
      <c r="C9" s="9" t="s">
        <v>29</v>
      </c>
      <c r="D9" s="9">
        <v>100</v>
      </c>
      <c r="E9" s="36">
        <f>'Lipiec25 - wydatki'!$D9-'Lipiec25 - wydatki'!$F9</f>
        <v>0</v>
      </c>
      <c r="F9" s="5">
        <f>3.19+40+5+51.81</f>
        <v>100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f>6660+1230+100+10</f>
        <v>8000</v>
      </c>
      <c r="Q9" s="1" t="s">
        <v>126</v>
      </c>
    </row>
    <row r="10" spans="1:20" x14ac:dyDescent="0.25">
      <c r="B10" s="8">
        <v>15</v>
      </c>
      <c r="C10" s="9" t="s">
        <v>33</v>
      </c>
      <c r="D10" s="9">
        <v>500</v>
      </c>
      <c r="E10" s="36">
        <f>'Lipiec25 - wydatki'!$D10-'Lipiec25 - wydatki'!$F10</f>
        <v>0</v>
      </c>
      <c r="F10" s="5">
        <v>500</v>
      </c>
      <c r="G10" s="2"/>
      <c r="H10" s="31">
        <v>13</v>
      </c>
      <c r="I10" s="9" t="s">
        <v>34</v>
      </c>
      <c r="J10" s="9">
        <v>50</v>
      </c>
      <c r="K10" s="2"/>
      <c r="L10" s="2"/>
      <c r="O10" s="1" t="s">
        <v>35</v>
      </c>
      <c r="P10" s="1">
        <f>127+100+152</f>
        <v>379</v>
      </c>
      <c r="Q10" s="1" t="s">
        <v>126</v>
      </c>
    </row>
    <row r="11" spans="1:20" x14ac:dyDescent="0.25">
      <c r="B11" s="8">
        <v>17</v>
      </c>
      <c r="C11" s="9" t="s">
        <v>36</v>
      </c>
      <c r="D11" s="9">
        <v>50</v>
      </c>
      <c r="E11" s="36">
        <f>'Lipiec25 - wydatki'!$D11-'Lipiec25 - wydatki'!$F11</f>
        <v>0</v>
      </c>
      <c r="F11" s="5">
        <v>50</v>
      </c>
      <c r="G11" s="2"/>
      <c r="H11" s="31">
        <v>14</v>
      </c>
      <c r="I11" s="9" t="s">
        <v>37</v>
      </c>
      <c r="J11" s="9">
        <v>100</v>
      </c>
      <c r="K11" s="2"/>
      <c r="L11" s="2"/>
      <c r="P11" s="1">
        <f>P8+P9+P10</f>
        <v>12143</v>
      </c>
    </row>
    <row r="12" spans="1:20" x14ac:dyDescent="0.25">
      <c r="B12" s="8">
        <v>21</v>
      </c>
      <c r="C12" s="9" t="s">
        <v>38</v>
      </c>
      <c r="D12" s="9">
        <v>1230</v>
      </c>
      <c r="E12" s="2">
        <f>D12-F12</f>
        <v>0</v>
      </c>
      <c r="F12" s="5">
        <v>1230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1510+500+500+500</f>
        <v>3010</v>
      </c>
      <c r="Q12" s="1" t="s">
        <v>126</v>
      </c>
    </row>
    <row r="13" spans="1:20" x14ac:dyDescent="0.25">
      <c r="B13" s="8">
        <v>22</v>
      </c>
      <c r="C13" s="9" t="s">
        <v>40</v>
      </c>
      <c r="D13" s="9">
        <v>650</v>
      </c>
      <c r="E13" s="36">
        <f>'Lipiec25 - wydatki'!$D13-'Lipiec25 - wydatki'!$F13</f>
        <v>9.0000000000031832E-2</v>
      </c>
      <c r="F13" s="5">
        <f>100+500+17.91+8+24</f>
        <v>649.91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4455</v>
      </c>
      <c r="E14" s="37">
        <f t="shared" si="3"/>
        <v>0.56000000000005912</v>
      </c>
      <c r="F14" s="16">
        <f t="shared" si="3"/>
        <v>4454.4400000000005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650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6257</v>
      </c>
      <c r="K17" s="14">
        <f t="shared" si="4"/>
        <v>0</v>
      </c>
      <c r="L17" s="16">
        <f t="shared" si="4"/>
        <v>0</v>
      </c>
      <c r="O17" s="1">
        <f>5310-206+19+83+36</f>
        <v>5242</v>
      </c>
      <c r="Q17" s="1">
        <f>68-52</f>
        <v>16</v>
      </c>
    </row>
    <row r="18" spans="2:19" x14ac:dyDescent="0.25">
      <c r="B18" s="1"/>
      <c r="C18" s="1" t="s">
        <v>127</v>
      </c>
      <c r="D18" s="9">
        <v>100</v>
      </c>
      <c r="E18" s="36">
        <f>'Lipiec25 - wydatki'!$D18-F18</f>
        <v>0</v>
      </c>
      <c r="F18" s="1">
        <v>100</v>
      </c>
    </row>
    <row r="19" spans="2:19" x14ac:dyDescent="0.25">
      <c r="B19" s="19"/>
      <c r="C19" s="9" t="s">
        <v>48</v>
      </c>
      <c r="D19" s="9">
        <v>369</v>
      </c>
      <c r="E19" s="36">
        <f>'Lipiec25 - wydatki'!$D19-F19</f>
        <v>0</v>
      </c>
      <c r="F19" s="5">
        <f>369</f>
        <v>369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>'Lipiec25 -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E21" si="5">SUM(D18:D20)</f>
        <v>469</v>
      </c>
      <c r="E21" s="38">
        <f t="shared" si="5"/>
        <v>0</v>
      </c>
      <c r="F21" s="16">
        <f>SUM(F8:F20)</f>
        <v>7753.35</v>
      </c>
      <c r="H21" s="31">
        <v>6</v>
      </c>
      <c r="I21" s="2" t="s">
        <v>51</v>
      </c>
      <c r="J21" s="9">
        <v>1028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O22" s="1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100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/>
      <c r="K24" s="2"/>
      <c r="L24" s="2"/>
      <c r="O24" s="1"/>
    </row>
    <row r="25" spans="2:19" ht="15.75" customHeight="1" x14ac:dyDescent="0.25">
      <c r="B25" s="8">
        <v>8</v>
      </c>
      <c r="C25" s="9" t="s">
        <v>56</v>
      </c>
      <c r="D25" s="9">
        <v>50</v>
      </c>
      <c r="E25" s="21">
        <f t="shared" ref="E25:E29" si="6">D25-F25</f>
        <v>0</v>
      </c>
      <c r="F25" s="5">
        <f>20+20+10</f>
        <v>50</v>
      </c>
      <c r="H25" s="9"/>
      <c r="I25" s="2" t="s">
        <v>144</v>
      </c>
      <c r="J25" s="9"/>
      <c r="K25" s="2"/>
      <c r="L25" s="2"/>
    </row>
    <row r="26" spans="2:19" ht="15.75" customHeight="1" x14ac:dyDescent="0.25">
      <c r="B26" s="19"/>
      <c r="C26" s="9" t="s">
        <v>107</v>
      </c>
      <c r="D26" s="9">
        <v>69</v>
      </c>
      <c r="E26" s="21">
        <f t="shared" si="6"/>
        <v>0</v>
      </c>
      <c r="F26" s="5">
        <f>69</f>
        <v>69</v>
      </c>
      <c r="H26" s="31">
        <v>21</v>
      </c>
      <c r="I26" s="2" t="s">
        <v>59</v>
      </c>
      <c r="J26" s="9">
        <v>400</v>
      </c>
      <c r="K26" s="2"/>
      <c r="L26" s="2"/>
    </row>
    <row r="27" spans="2:19" ht="15.75" customHeight="1" x14ac:dyDescent="0.25">
      <c r="B27" s="19"/>
      <c r="C27" s="9" t="s">
        <v>109</v>
      </c>
      <c r="D27" s="9"/>
      <c r="E27" s="21">
        <f t="shared" si="6"/>
        <v>0</v>
      </c>
      <c r="F27" s="5"/>
      <c r="H27" s="31">
        <v>25</v>
      </c>
      <c r="I27" s="2" t="s">
        <v>61</v>
      </c>
      <c r="J27" s="9">
        <v>300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/>
      <c r="E28" s="21">
        <f t="shared" si="6"/>
        <v>0</v>
      </c>
      <c r="F28" s="23"/>
      <c r="H28" s="1"/>
      <c r="I28" s="2" t="s">
        <v>145</v>
      </c>
      <c r="J28" s="9"/>
      <c r="K28" s="2"/>
      <c r="L28" s="1"/>
    </row>
    <row r="29" spans="2:19" ht="15.75" customHeight="1" x14ac:dyDescent="0.25">
      <c r="B29" s="19"/>
      <c r="C29" s="9" t="s">
        <v>136</v>
      </c>
      <c r="D29" s="9"/>
      <c r="E29" s="21">
        <f t="shared" si="6"/>
        <v>0</v>
      </c>
      <c r="F29" s="5"/>
      <c r="H29" s="33"/>
      <c r="I29" s="34" t="s">
        <v>41</v>
      </c>
      <c r="J29" s="34">
        <f>SUM(J21:J28)</f>
        <v>2028</v>
      </c>
      <c r="K29" s="34">
        <f t="shared" ref="K29:L29" si="7">SUM(K21:K27)</f>
        <v>0</v>
      </c>
      <c r="L29" s="35">
        <f t="shared" si="7"/>
        <v>0</v>
      </c>
    </row>
    <row r="30" spans="2:19" ht="15.75" customHeight="1" x14ac:dyDescent="0.25">
      <c r="B30" s="17"/>
      <c r="C30" s="2" t="s">
        <v>137</v>
      </c>
      <c r="D30" s="2"/>
      <c r="E30" s="21"/>
      <c r="F30" s="23"/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146</v>
      </c>
      <c r="J34" s="9">
        <v>168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8">SUM(D25:D34)</f>
        <v>119</v>
      </c>
      <c r="E35" s="39">
        <f t="shared" si="8"/>
        <v>0</v>
      </c>
      <c r="F35" s="27">
        <f>SUM(F25:F30)</f>
        <v>119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147</v>
      </c>
      <c r="J36" s="9">
        <v>100</v>
      </c>
      <c r="K36" s="2"/>
      <c r="L36" s="2"/>
    </row>
    <row r="37" spans="2:12" ht="15.75" customHeight="1" x14ac:dyDescent="0.25">
      <c r="C37" s="1" t="s">
        <v>87</v>
      </c>
      <c r="D37" s="29">
        <f>E35+E21+E14</f>
        <v>0.56000000000005912</v>
      </c>
      <c r="E37" s="28">
        <v>0</v>
      </c>
      <c r="H37" s="9"/>
      <c r="I37" s="2" t="s">
        <v>148</v>
      </c>
      <c r="J37" s="9">
        <v>83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E37+E38+D37</f>
        <v>0.56000000000005912</v>
      </c>
      <c r="H39" s="9"/>
      <c r="I39" s="2" t="s">
        <v>119</v>
      </c>
      <c r="J39" s="9">
        <v>50</v>
      </c>
      <c r="K39" s="2"/>
      <c r="L39" s="2"/>
    </row>
    <row r="40" spans="2:12" ht="15.75" customHeight="1" x14ac:dyDescent="0.25">
      <c r="H40" s="1"/>
      <c r="I40" s="2" t="s">
        <v>141</v>
      </c>
      <c r="J40" s="9">
        <v>70</v>
      </c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521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5043</v>
      </c>
      <c r="J43" s="1">
        <f>J41+J29+J17</f>
        <v>8806</v>
      </c>
      <c r="K43" s="1">
        <f>J43+I43</f>
        <v>13849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29" priority="1" operator="lessThan">
      <formula>0</formula>
    </cfRule>
    <cfRule type="cellIs" dxfId="28" priority="2" operator="greaterThan">
      <formula>0</formula>
    </cfRule>
    <cfRule type="cellIs" dxfId="27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f>(5186+75+10)</f>
        <v>5271</v>
      </c>
      <c r="P3" s="2">
        <f t="shared" ref="P3:P5" si="0">Q3+R3+S3</f>
        <v>4902</v>
      </c>
      <c r="Q3" s="2">
        <f>D14</f>
        <v>4156</v>
      </c>
      <c r="R3" s="2">
        <f>D21</f>
        <v>630</v>
      </c>
      <c r="S3" s="2">
        <f>D35</f>
        <v>116</v>
      </c>
      <c r="T3" s="7">
        <f t="shared" ref="T3:T4" si="1">O3-P3</f>
        <v>369</v>
      </c>
    </row>
    <row r="4" spans="1:20" x14ac:dyDescent="0.25">
      <c r="B4" s="8">
        <v>2</v>
      </c>
      <c r="C4" s="9" t="s">
        <v>15</v>
      </c>
      <c r="D4" s="9">
        <v>85</v>
      </c>
      <c r="E4" s="21">
        <f>'Kwiecień25 - wydatki '!$D4-F4</f>
        <v>0</v>
      </c>
      <c r="F4" s="5">
        <v>85</v>
      </c>
      <c r="G4" s="2"/>
      <c r="H4" s="31">
        <v>1</v>
      </c>
      <c r="I4" s="9" t="s">
        <v>16</v>
      </c>
      <c r="J4" s="9">
        <v>3105</v>
      </c>
      <c r="K4" s="2"/>
      <c r="L4" s="2"/>
      <c r="N4" s="2" t="s">
        <v>17</v>
      </c>
      <c r="O4" s="11">
        <v>7962</v>
      </c>
      <c r="P4" s="2">
        <f t="shared" si="0"/>
        <v>8331</v>
      </c>
      <c r="Q4" s="2">
        <f>J17</f>
        <v>5748</v>
      </c>
      <c r="R4" s="2">
        <f>J29</f>
        <v>2084</v>
      </c>
      <c r="S4" s="2">
        <f>J41</f>
        <v>499</v>
      </c>
      <c r="T4" s="7">
        <f t="shared" si="1"/>
        <v>-369</v>
      </c>
    </row>
    <row r="5" spans="1:20" x14ac:dyDescent="0.25">
      <c r="B5" s="8">
        <v>4</v>
      </c>
      <c r="C5" s="9" t="s">
        <v>18</v>
      </c>
      <c r="D5" s="9">
        <v>40</v>
      </c>
      <c r="E5" s="21">
        <f>'Kwiecień25 - wydatki '!$D5-F5</f>
        <v>0</v>
      </c>
      <c r="F5" s="5">
        <v>40</v>
      </c>
      <c r="G5" s="2"/>
      <c r="H5" s="31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K43=O3+O4</f>
        <v>1</v>
      </c>
      <c r="P5" s="2">
        <f t="shared" si="0"/>
        <v>13233</v>
      </c>
      <c r="Q5" s="2">
        <f t="shared" ref="Q5:S5" si="2">Q3+Q4</f>
        <v>9904</v>
      </c>
      <c r="R5" s="2">
        <f t="shared" si="2"/>
        <v>2714</v>
      </c>
      <c r="S5" s="2">
        <f t="shared" si="2"/>
        <v>615</v>
      </c>
      <c r="T5" s="12"/>
    </row>
    <row r="6" spans="1:20" x14ac:dyDescent="0.25">
      <c r="B6" s="8">
        <v>5</v>
      </c>
      <c r="C6" s="9" t="s">
        <v>20</v>
      </c>
      <c r="D6" s="9">
        <f>800+75</f>
        <v>875</v>
      </c>
      <c r="E6" s="21">
        <f>'Kwiecień25 - wydatki '!$D6-F6</f>
        <v>0</v>
      </c>
      <c r="F6" s="5">
        <f>(300+122+115+133+111+94)</f>
        <v>875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900</v>
      </c>
      <c r="E7" s="21">
        <f>'Kwiecień25 - wydatki '!$D7-F7</f>
        <v>0</v>
      </c>
      <c r="F7" s="5">
        <f>57+31+108+29.92+23.45+10.81+50.1+80.83+184.66+23.94+30.17+10.68+9.78+200.95+31.29+4.5+12.92</f>
        <v>899.99999999999989</v>
      </c>
      <c r="G7" s="2"/>
      <c r="H7" s="31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1:20" x14ac:dyDescent="0.25">
      <c r="B8" s="8">
        <v>8</v>
      </c>
      <c r="C8" s="9" t="s">
        <v>149</v>
      </c>
      <c r="D8" s="9">
        <v>56</v>
      </c>
      <c r="E8" s="21">
        <f>'Kwiecień25 - wydatki '!$D8-F8</f>
        <v>0</v>
      </c>
      <c r="F8" s="5">
        <v>56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</f>
        <v>3236</v>
      </c>
      <c r="Q8" s="1" t="s">
        <v>150</v>
      </c>
    </row>
    <row r="9" spans="1:20" x14ac:dyDescent="0.25">
      <c r="B9" s="8">
        <v>12</v>
      </c>
      <c r="C9" s="9" t="s">
        <v>29</v>
      </c>
      <c r="D9" s="9">
        <v>140</v>
      </c>
      <c r="E9" s="21">
        <f>'Kwiecień25 - wydatki '!$D9-F9</f>
        <v>36</v>
      </c>
      <c r="F9" s="5">
        <f>(20+40+10+25+9)</f>
        <v>104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4660</v>
      </c>
      <c r="Q9" s="1" t="s">
        <v>150</v>
      </c>
    </row>
    <row r="10" spans="1:20" x14ac:dyDescent="0.25">
      <c r="B10" s="8">
        <v>15</v>
      </c>
      <c r="C10" s="9" t="s">
        <v>33</v>
      </c>
      <c r="D10" s="9">
        <v>500</v>
      </c>
      <c r="E10" s="21">
        <f>'Kwiecień25 - wydatki '!$D10-F10</f>
        <v>0</v>
      </c>
      <c r="F10" s="5">
        <v>500</v>
      </c>
      <c r="G10" s="2"/>
      <c r="H10" s="31">
        <v>13</v>
      </c>
      <c r="I10" s="9" t="s">
        <v>34</v>
      </c>
      <c r="J10" s="9">
        <v>70</v>
      </c>
      <c r="K10" s="2"/>
      <c r="L10" s="2"/>
      <c r="P10" s="1">
        <f>P8+P9</f>
        <v>7896</v>
      </c>
    </row>
    <row r="11" spans="1:20" x14ac:dyDescent="0.25">
      <c r="B11" s="8">
        <v>17</v>
      </c>
      <c r="C11" s="9" t="s">
        <v>36</v>
      </c>
      <c r="D11" s="9">
        <v>60</v>
      </c>
      <c r="E11" s="21">
        <f>'Kwiecień25 - wydatki '!$D11-F11</f>
        <v>0</v>
      </c>
      <c r="F11" s="5">
        <v>60</v>
      </c>
      <c r="G11" s="2"/>
      <c r="H11" s="31">
        <v>14</v>
      </c>
      <c r="I11" s="9" t="s">
        <v>37</v>
      </c>
      <c r="J11" s="9">
        <v>100</v>
      </c>
      <c r="K11" s="2"/>
      <c r="L11" s="2"/>
    </row>
    <row r="12" spans="1:20" x14ac:dyDescent="0.25">
      <c r="B12" s="8">
        <v>21</v>
      </c>
      <c r="C12" s="9" t="s">
        <v>38</v>
      </c>
      <c r="D12" s="9">
        <v>1000</v>
      </c>
      <c r="E12" s="21">
        <f>'Kwiecień25 - wydatki '!$D12-F12</f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v>1510</v>
      </c>
    </row>
    <row r="13" spans="1:20" x14ac:dyDescent="0.25">
      <c r="B13" s="8">
        <v>22</v>
      </c>
      <c r="C13" s="9" t="s">
        <v>40</v>
      </c>
      <c r="D13" s="9">
        <v>500</v>
      </c>
      <c r="E13" s="21">
        <f>'Kwiecień25 - wydatki '!$D13-F13</f>
        <v>0</v>
      </c>
      <c r="F13" s="5">
        <v>500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4156</v>
      </c>
      <c r="E14" s="40">
        <f t="shared" si="3"/>
        <v>36</v>
      </c>
      <c r="F14" s="16">
        <f t="shared" si="3"/>
        <v>4120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5748</v>
      </c>
      <c r="K17" s="14">
        <f t="shared" si="4"/>
        <v>0</v>
      </c>
      <c r="L17" s="16">
        <f t="shared" si="4"/>
        <v>0</v>
      </c>
    </row>
    <row r="18" spans="2:19" x14ac:dyDescent="0.25">
      <c r="B18" s="8">
        <v>5</v>
      </c>
      <c r="C18" s="9" t="s">
        <v>24</v>
      </c>
      <c r="D18" s="9">
        <v>330</v>
      </c>
      <c r="E18" s="36">
        <f t="shared" ref="E18:E20" si="5">D18-F18</f>
        <v>83</v>
      </c>
      <c r="F18" s="5">
        <v>247</v>
      </c>
    </row>
    <row r="19" spans="2:19" x14ac:dyDescent="0.25">
      <c r="B19" s="19"/>
      <c r="C19" s="9" t="s">
        <v>48</v>
      </c>
      <c r="D19" s="9">
        <v>300</v>
      </c>
      <c r="E19" s="36">
        <f t="shared" si="5"/>
        <v>0</v>
      </c>
      <c r="F19" s="5">
        <v>300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 t="shared" si="5"/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6">SUM(D18:D20)</f>
        <v>630</v>
      </c>
      <c r="E21" s="37">
        <f t="shared" si="6"/>
        <v>83</v>
      </c>
      <c r="F21" s="16">
        <f t="shared" si="6"/>
        <v>547</v>
      </c>
      <c r="H21" s="31">
        <v>6</v>
      </c>
      <c r="I21" s="2" t="s">
        <v>51</v>
      </c>
      <c r="J21" s="9">
        <v>1071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O22" s="1">
        <f>88.11+200+84</f>
        <v>372.11</v>
      </c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113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/>
      <c r="K24" s="2"/>
      <c r="L24" s="2"/>
      <c r="O24" s="1" t="s">
        <v>151</v>
      </c>
    </row>
    <row r="25" spans="2:19" ht="15.75" customHeight="1" x14ac:dyDescent="0.25">
      <c r="B25" s="8">
        <v>8</v>
      </c>
      <c r="C25" s="9" t="s">
        <v>56</v>
      </c>
      <c r="D25" s="9">
        <v>50</v>
      </c>
      <c r="E25" s="21">
        <f t="shared" ref="E25:E30" si="7">D25-F25</f>
        <v>19</v>
      </c>
      <c r="F25" s="5">
        <f>16+15</f>
        <v>31</v>
      </c>
      <c r="H25" s="9"/>
      <c r="I25" s="2" t="s">
        <v>144</v>
      </c>
      <c r="J25" s="9"/>
      <c r="K25" s="2"/>
      <c r="L25" s="2"/>
    </row>
    <row r="26" spans="2:19" ht="15.75" customHeight="1" x14ac:dyDescent="0.25">
      <c r="B26" s="19"/>
      <c r="C26" s="9" t="s">
        <v>152</v>
      </c>
      <c r="D26" s="9">
        <v>0</v>
      </c>
      <c r="E26" s="21">
        <f t="shared" si="7"/>
        <v>0</v>
      </c>
      <c r="F26" s="5"/>
      <c r="H26" s="31">
        <v>21</v>
      </c>
      <c r="I26" s="2" t="s">
        <v>59</v>
      </c>
      <c r="J26" s="9">
        <v>400</v>
      </c>
      <c r="K26" s="2"/>
      <c r="L26" s="2"/>
    </row>
    <row r="27" spans="2:19" ht="15.75" customHeight="1" x14ac:dyDescent="0.25">
      <c r="B27" s="19"/>
      <c r="C27" s="9" t="s">
        <v>109</v>
      </c>
      <c r="D27" s="9">
        <v>17</v>
      </c>
      <c r="E27" s="21">
        <f t="shared" si="7"/>
        <v>0</v>
      </c>
      <c r="F27" s="5">
        <v>17</v>
      </c>
      <c r="H27" s="31">
        <v>25</v>
      </c>
      <c r="I27" s="2" t="s">
        <v>61</v>
      </c>
      <c r="J27" s="9">
        <v>300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>
        <v>0</v>
      </c>
      <c r="E28" s="21">
        <f t="shared" si="7"/>
        <v>0</v>
      </c>
      <c r="F28" s="23"/>
      <c r="H28" s="1"/>
      <c r="I28" s="2" t="s">
        <v>145</v>
      </c>
      <c r="J28" s="9"/>
      <c r="K28" s="2"/>
      <c r="L28" s="1"/>
    </row>
    <row r="29" spans="2:19" ht="15.75" customHeight="1" x14ac:dyDescent="0.25">
      <c r="B29" s="19"/>
      <c r="C29" s="9" t="s">
        <v>136</v>
      </c>
      <c r="D29" s="9">
        <v>0</v>
      </c>
      <c r="E29" s="21">
        <f t="shared" si="7"/>
        <v>0</v>
      </c>
      <c r="F29" s="5"/>
      <c r="H29" s="33"/>
      <c r="I29" s="34" t="s">
        <v>41</v>
      </c>
      <c r="J29" s="34">
        <f>SUM(J21:J28)</f>
        <v>2084</v>
      </c>
      <c r="K29" s="34">
        <f t="shared" ref="K29:L29" si="8">SUM(K21:K27)</f>
        <v>0</v>
      </c>
      <c r="L29" s="35">
        <f t="shared" si="8"/>
        <v>0</v>
      </c>
    </row>
    <row r="30" spans="2:19" ht="15.75" customHeight="1" x14ac:dyDescent="0.25">
      <c r="B30" s="17"/>
      <c r="C30" s="2" t="s">
        <v>153</v>
      </c>
      <c r="D30" s="2">
        <v>49</v>
      </c>
      <c r="E30" s="21">
        <f t="shared" si="7"/>
        <v>0</v>
      </c>
      <c r="F30" s="23">
        <v>49</v>
      </c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/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9">SUM(D25:D34)</f>
        <v>116</v>
      </c>
      <c r="E35" s="26">
        <f t="shared" si="9"/>
        <v>19</v>
      </c>
      <c r="F35" s="27">
        <f>SUM(F25:F30)</f>
        <v>97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155</v>
      </c>
      <c r="J36" s="9">
        <v>300</v>
      </c>
      <c r="K36" s="2"/>
      <c r="L36" s="2"/>
    </row>
    <row r="37" spans="2:12" ht="15.75" customHeight="1" x14ac:dyDescent="0.25">
      <c r="C37" s="1" t="s">
        <v>87</v>
      </c>
      <c r="E37" s="28">
        <f>E14+E21+E35</f>
        <v>138</v>
      </c>
      <c r="H37" s="9"/>
      <c r="I37" s="2" t="s">
        <v>156</v>
      </c>
      <c r="J37" s="9">
        <v>100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</f>
        <v>138</v>
      </c>
      <c r="H39" s="9"/>
      <c r="I39" s="2" t="s">
        <v>119</v>
      </c>
      <c r="J39" s="9">
        <v>49</v>
      </c>
      <c r="K39" s="2"/>
      <c r="L39" s="2"/>
    </row>
    <row r="40" spans="2:12" ht="15.75" customHeight="1" x14ac:dyDescent="0.25">
      <c r="H40" s="1"/>
      <c r="I40" s="2" t="s">
        <v>157</v>
      </c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499</v>
      </c>
      <c r="K41" s="34">
        <f t="shared" ref="K41:L41" si="10">SUM(K33:K39)</f>
        <v>0</v>
      </c>
      <c r="L41" s="35">
        <f t="shared" si="10"/>
        <v>0</v>
      </c>
    </row>
    <row r="42" spans="2:12" ht="15.75" customHeight="1" x14ac:dyDescent="0.25"/>
    <row r="43" spans="2:12" ht="15.75" customHeight="1" x14ac:dyDescent="0.25">
      <c r="I43" s="1">
        <f>D14+D21+D35</f>
        <v>4902</v>
      </c>
      <c r="J43" s="1">
        <f>J41+J29+J17</f>
        <v>8331</v>
      </c>
      <c r="K43" s="1">
        <f>J43+I43</f>
        <v>13233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26" priority="1" operator="lessThan">
      <formula>0</formula>
    </cfRule>
    <cfRule type="cellIs" dxfId="25" priority="2" operator="greaterThan">
      <formula>0</formula>
    </cfRule>
    <cfRule type="cellIs" dxfId="24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5300</v>
      </c>
      <c r="P3" s="2">
        <f t="shared" ref="P3:P5" si="0">Q3+R3+S3</f>
        <v>4639.5</v>
      </c>
      <c r="Q3" s="2">
        <f>D14</f>
        <v>3931</v>
      </c>
      <c r="R3" s="2">
        <f>D21</f>
        <v>608.5</v>
      </c>
      <c r="S3" s="2">
        <f>D35</f>
        <v>100</v>
      </c>
      <c r="T3" s="7">
        <f t="shared" ref="T3:T4" si="1">O3-P3</f>
        <v>660.5</v>
      </c>
    </row>
    <row r="4" spans="1:20" x14ac:dyDescent="0.25">
      <c r="B4" s="8">
        <v>2</v>
      </c>
      <c r="C4" s="9" t="s">
        <v>15</v>
      </c>
      <c r="D4" s="9">
        <v>85</v>
      </c>
      <c r="E4" s="21">
        <f>'Czerwiec25 - wydatki'!$D4-'Czerwiec25 - wydatki'!$F4</f>
        <v>0</v>
      </c>
      <c r="F4" s="5">
        <v>85</v>
      </c>
      <c r="G4" s="2"/>
      <c r="H4" s="31">
        <v>1</v>
      </c>
      <c r="I4" s="9" t="s">
        <v>16</v>
      </c>
      <c r="J4" s="9">
        <v>3400</v>
      </c>
      <c r="K4" s="2"/>
      <c r="L4" s="2"/>
      <c r="N4" s="2" t="s">
        <v>17</v>
      </c>
      <c r="O4" s="11">
        <v>7682</v>
      </c>
      <c r="P4" s="2">
        <f t="shared" si="0"/>
        <v>8342.5</v>
      </c>
      <c r="Q4" s="2">
        <f>J17</f>
        <v>6035</v>
      </c>
      <c r="R4" s="2">
        <f>J29</f>
        <v>2127.5</v>
      </c>
      <c r="S4" s="2">
        <f>J41</f>
        <v>180</v>
      </c>
      <c r="T4" s="7">
        <f t="shared" si="1"/>
        <v>-660.5</v>
      </c>
    </row>
    <row r="5" spans="1:20" x14ac:dyDescent="0.25">
      <c r="B5" s="8">
        <v>4</v>
      </c>
      <c r="C5" s="9" t="s">
        <v>18</v>
      </c>
      <c r="D5" s="9">
        <v>40</v>
      </c>
      <c r="E5" s="21">
        <f>'Czerwiec25 - wydatki'!$D5-'Czerwiec25 - wydatki'!$F5</f>
        <v>0</v>
      </c>
      <c r="F5" s="5">
        <v>40</v>
      </c>
      <c r="G5" s="2"/>
      <c r="H5" s="31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K43=O3+O4</f>
        <v>1</v>
      </c>
      <c r="P5" s="2">
        <f t="shared" si="0"/>
        <v>12982</v>
      </c>
      <c r="Q5" s="2">
        <f t="shared" ref="Q5:S5" si="2">Q3+Q4</f>
        <v>9966</v>
      </c>
      <c r="R5" s="2">
        <f t="shared" si="2"/>
        <v>2736</v>
      </c>
      <c r="S5" s="2">
        <f t="shared" si="2"/>
        <v>280</v>
      </c>
      <c r="T5" s="12"/>
    </row>
    <row r="6" spans="1:20" x14ac:dyDescent="0.25">
      <c r="B6" s="8">
        <v>5</v>
      </c>
      <c r="C6" s="9" t="s">
        <v>20</v>
      </c>
      <c r="D6" s="9">
        <v>800</v>
      </c>
      <c r="E6" s="21">
        <f>'Czerwiec25 - wydatki'!$D6-'Czerwiec25 - wydatki'!$F6</f>
        <v>182.05999999999995</v>
      </c>
      <c r="F6" s="5">
        <f>8+213+280+105+11.94</f>
        <v>617.94000000000005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21">
        <f>'Czerwiec25 - wydatki'!$D7-'Czerwiec25 - wydatki'!$F7</f>
        <v>2.0000000000095497E-2</v>
      </c>
      <c r="F7" s="5">
        <f>16+9+16+20+57.82+93.21+97.12+210+40+21.53+78+26.49+12.81+102</f>
        <v>799.9799999999999</v>
      </c>
      <c r="G7" s="2"/>
      <c r="H7" s="31">
        <v>9</v>
      </c>
      <c r="I7" s="9" t="s">
        <v>22</v>
      </c>
      <c r="J7" s="9">
        <v>140</v>
      </c>
      <c r="K7" s="2"/>
      <c r="L7" s="2"/>
      <c r="N7" s="1" t="s">
        <v>23</v>
      </c>
    </row>
    <row r="8" spans="1:20" x14ac:dyDescent="0.25">
      <c r="B8" s="8">
        <v>8</v>
      </c>
      <c r="C8" s="9" t="s">
        <v>149</v>
      </c>
      <c r="D8" s="9">
        <v>56</v>
      </c>
      <c r="E8" s="21">
        <f>'Czerwiec25 - wydatki'!$D8-'Czerwiec25 - wydatki'!$F8</f>
        <v>0</v>
      </c>
      <c r="F8" s="5">
        <f>16+20+20</f>
        <v>56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4230+261+318-1650+300-223+300-250+250+228</f>
        <v>3764</v>
      </c>
      <c r="Q8" s="1" t="s">
        <v>142</v>
      </c>
      <c r="R8" s="1"/>
    </row>
    <row r="9" spans="1:20" x14ac:dyDescent="0.25">
      <c r="B9" s="8">
        <v>12</v>
      </c>
      <c r="C9" s="9" t="s">
        <v>29</v>
      </c>
      <c r="D9" s="9">
        <v>100</v>
      </c>
      <c r="E9" s="21">
        <f>'Czerwiec25 - wydatki'!$D9-'Czerwiec25 - wydatki'!$F9</f>
        <v>0.5</v>
      </c>
      <c r="F9" s="5">
        <f>24+20.5+9+30+10+6</f>
        <v>99.5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6660</v>
      </c>
      <c r="Q9" s="1" t="s">
        <v>142</v>
      </c>
    </row>
    <row r="10" spans="1:20" x14ac:dyDescent="0.25">
      <c r="B10" s="8">
        <v>15</v>
      </c>
      <c r="C10" s="9" t="s">
        <v>33</v>
      </c>
      <c r="D10" s="9">
        <v>500</v>
      </c>
      <c r="E10" s="21">
        <f>'Czerwiec25 - wydatki'!$D10-'Czerwiec25 - wydatki'!$F10</f>
        <v>0</v>
      </c>
      <c r="F10" s="5">
        <v>500</v>
      </c>
      <c r="G10" s="2"/>
      <c r="H10" s="31">
        <v>13</v>
      </c>
      <c r="I10" s="9" t="s">
        <v>34</v>
      </c>
      <c r="J10" s="9">
        <v>50</v>
      </c>
      <c r="K10" s="2"/>
      <c r="L10" s="2"/>
      <c r="O10" s="1" t="s">
        <v>35</v>
      </c>
      <c r="P10" s="1">
        <f>127+100</f>
        <v>227</v>
      </c>
      <c r="Q10" s="1" t="s">
        <v>142</v>
      </c>
    </row>
    <row r="11" spans="1:20" x14ac:dyDescent="0.25">
      <c r="B11" s="8">
        <v>17</v>
      </c>
      <c r="C11" s="9" t="s">
        <v>36</v>
      </c>
      <c r="D11" s="9">
        <v>50</v>
      </c>
      <c r="E11" s="21">
        <v>20</v>
      </c>
      <c r="F11" s="5">
        <f>80</f>
        <v>80</v>
      </c>
      <c r="G11" s="2"/>
      <c r="H11" s="31">
        <v>14</v>
      </c>
      <c r="I11" s="9" t="s">
        <v>37</v>
      </c>
      <c r="J11" s="9">
        <v>100</v>
      </c>
      <c r="K11" s="2"/>
      <c r="L11" s="2"/>
      <c r="P11" s="1">
        <f>P8+P9+P10</f>
        <v>10651</v>
      </c>
    </row>
    <row r="12" spans="1:20" x14ac:dyDescent="0.25">
      <c r="B12" s="8">
        <v>21</v>
      </c>
      <c r="C12" s="9" t="s">
        <v>38</v>
      </c>
      <c r="D12" s="9">
        <v>1000</v>
      </c>
      <c r="E12" s="21">
        <f>'Czerwiec25 - wydatki'!$D12-'Czerwiec25 - wydatki'!$F12</f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1510+500+500</f>
        <v>2510</v>
      </c>
      <c r="Q12" s="1" t="s">
        <v>142</v>
      </c>
    </row>
    <row r="13" spans="1:20" x14ac:dyDescent="0.25">
      <c r="B13" s="8">
        <v>22</v>
      </c>
      <c r="C13" s="9" t="s">
        <v>40</v>
      </c>
      <c r="D13" s="9">
        <v>500</v>
      </c>
      <c r="E13" s="21">
        <f>'Czerwiec25 - wydatki'!$D13-'Czerwiec25 - wydatki'!$F13</f>
        <v>4.8000000000000114</v>
      </c>
      <c r="F13" s="5">
        <f>-29+25+109+26+350+10+4.2</f>
        <v>495.2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3931</v>
      </c>
      <c r="E14" s="40">
        <f t="shared" si="3"/>
        <v>207.38000000000005</v>
      </c>
      <c r="F14" s="16">
        <f t="shared" si="3"/>
        <v>3773.62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6035</v>
      </c>
      <c r="K17" s="14">
        <f t="shared" si="4"/>
        <v>0</v>
      </c>
      <c r="L17" s="16">
        <f t="shared" si="4"/>
        <v>0</v>
      </c>
      <c r="O17" s="1">
        <f>5310-206+19+83+36</f>
        <v>5242</v>
      </c>
    </row>
    <row r="18" spans="2:19" x14ac:dyDescent="0.25">
      <c r="B18" s="8">
        <v>5</v>
      </c>
      <c r="C18" s="9" t="s">
        <v>24</v>
      </c>
      <c r="D18" s="9">
        <v>300</v>
      </c>
      <c r="E18" s="36">
        <f>'Czerwiec25 - wydatki'!$D18-F18</f>
        <v>0</v>
      </c>
      <c r="F18" s="5">
        <v>300</v>
      </c>
    </row>
    <row r="19" spans="2:19" x14ac:dyDescent="0.25">
      <c r="B19" s="19"/>
      <c r="C19" s="9" t="s">
        <v>48</v>
      </c>
      <c r="D19" s="9">
        <v>308.5</v>
      </c>
      <c r="E19" s="36">
        <f>'Czerwiec25 - wydatki'!$D19-F19</f>
        <v>0</v>
      </c>
      <c r="F19" s="5">
        <f>228.5+80</f>
        <v>308.5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>'Czerwiec25 - wydatki'!$D20-F20</f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5">SUM(D18:D20)</f>
        <v>608.5</v>
      </c>
      <c r="E21" s="37">
        <f t="shared" si="5"/>
        <v>0</v>
      </c>
      <c r="F21" s="16">
        <f t="shared" si="5"/>
        <v>608.5</v>
      </c>
      <c r="H21" s="31">
        <v>6</v>
      </c>
      <c r="I21" s="2" t="s">
        <v>51</v>
      </c>
      <c r="J21" s="9">
        <v>1027.5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O22" s="1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100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/>
      <c r="K24" s="2"/>
      <c r="L24" s="2"/>
      <c r="O24" s="1"/>
    </row>
    <row r="25" spans="2:19" ht="15.75" customHeight="1" x14ac:dyDescent="0.25">
      <c r="B25" s="8">
        <v>8</v>
      </c>
      <c r="C25" s="9" t="s">
        <v>56</v>
      </c>
      <c r="D25" s="9">
        <v>50</v>
      </c>
      <c r="E25" s="21">
        <f t="shared" ref="E25:E30" si="6">D25-F25</f>
        <v>0</v>
      </c>
      <c r="F25" s="5">
        <v>50</v>
      </c>
      <c r="H25" s="9"/>
      <c r="I25" s="2" t="s">
        <v>144</v>
      </c>
      <c r="J25" s="9"/>
      <c r="K25" s="2"/>
      <c r="L25" s="2"/>
    </row>
    <row r="26" spans="2:19" ht="15.75" customHeight="1" x14ac:dyDescent="0.25">
      <c r="B26" s="19"/>
      <c r="C26" s="9" t="s">
        <v>152</v>
      </c>
      <c r="D26" s="9">
        <v>0</v>
      </c>
      <c r="E26" s="21">
        <f t="shared" si="6"/>
        <v>0</v>
      </c>
      <c r="F26" s="5"/>
      <c r="H26" s="31">
        <v>21</v>
      </c>
      <c r="I26" s="2" t="s">
        <v>59</v>
      </c>
      <c r="J26" s="9">
        <v>300</v>
      </c>
      <c r="K26" s="2"/>
      <c r="L26" s="2"/>
    </row>
    <row r="27" spans="2:19" ht="15.75" customHeight="1" x14ac:dyDescent="0.25">
      <c r="B27" s="19"/>
      <c r="C27" s="9" t="s">
        <v>109</v>
      </c>
      <c r="D27" s="9">
        <v>0</v>
      </c>
      <c r="E27" s="21">
        <f t="shared" si="6"/>
        <v>0</v>
      </c>
      <c r="F27" s="5"/>
      <c r="H27" s="31">
        <v>25</v>
      </c>
      <c r="I27" s="2" t="s">
        <v>61</v>
      </c>
      <c r="J27" s="9">
        <v>500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>
        <v>0</v>
      </c>
      <c r="E28" s="21">
        <f t="shared" si="6"/>
        <v>0</v>
      </c>
      <c r="F28" s="23"/>
      <c r="H28" s="1"/>
      <c r="I28" s="2" t="s">
        <v>145</v>
      </c>
      <c r="J28" s="9"/>
      <c r="K28" s="2"/>
      <c r="L28" s="1"/>
    </row>
    <row r="29" spans="2:19" ht="15.75" customHeight="1" x14ac:dyDescent="0.25">
      <c r="B29" s="19"/>
      <c r="C29" s="9" t="s">
        <v>136</v>
      </c>
      <c r="D29" s="9">
        <v>0</v>
      </c>
      <c r="E29" s="21">
        <f t="shared" si="6"/>
        <v>0</v>
      </c>
      <c r="F29" s="5"/>
      <c r="H29" s="33"/>
      <c r="I29" s="34" t="s">
        <v>41</v>
      </c>
      <c r="J29" s="34">
        <f>SUM(J21:J28)</f>
        <v>2127.5</v>
      </c>
      <c r="K29" s="34">
        <f t="shared" ref="K29:L29" si="7">SUM(K21:K27)</f>
        <v>0</v>
      </c>
      <c r="L29" s="35">
        <f t="shared" si="7"/>
        <v>0</v>
      </c>
    </row>
    <row r="30" spans="2:19" ht="15.75" customHeight="1" x14ac:dyDescent="0.25">
      <c r="B30" s="17"/>
      <c r="C30" s="2" t="s">
        <v>137</v>
      </c>
      <c r="D30" s="2">
        <v>50</v>
      </c>
      <c r="E30" s="21">
        <f t="shared" si="6"/>
        <v>0</v>
      </c>
      <c r="F30" s="23">
        <f>29+21</f>
        <v>50</v>
      </c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/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/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8">SUM(D25:D34)</f>
        <v>100</v>
      </c>
      <c r="E35" s="26">
        <f t="shared" si="8"/>
        <v>0</v>
      </c>
      <c r="F35" s="27">
        <f>SUM(F25:F30)</f>
        <v>100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155</v>
      </c>
      <c r="J36" s="9"/>
      <c r="K36" s="2"/>
      <c r="L36" s="2"/>
    </row>
    <row r="37" spans="2:12" ht="15.75" customHeight="1" x14ac:dyDescent="0.25">
      <c r="C37" s="1" t="s">
        <v>87</v>
      </c>
      <c r="E37" s="28">
        <f>E14+E21+E35</f>
        <v>207.38000000000005</v>
      </c>
      <c r="H37" s="9"/>
      <c r="I37" s="2" t="s">
        <v>158</v>
      </c>
      <c r="J37" s="9">
        <v>80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</f>
        <v>207.38000000000005</v>
      </c>
      <c r="H39" s="9"/>
      <c r="I39" s="2" t="s">
        <v>119</v>
      </c>
      <c r="J39" s="9">
        <v>50</v>
      </c>
      <c r="K39" s="2"/>
      <c r="L39" s="2"/>
    </row>
    <row r="40" spans="2:12" ht="15.75" customHeight="1" x14ac:dyDescent="0.25">
      <c r="H40" s="1"/>
      <c r="I40" s="2" t="s">
        <v>159</v>
      </c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180</v>
      </c>
      <c r="K41" s="34">
        <f t="shared" ref="K41:L41" si="9">SUM(K33:K39)</f>
        <v>0</v>
      </c>
      <c r="L41" s="35">
        <f t="shared" si="9"/>
        <v>0</v>
      </c>
    </row>
    <row r="42" spans="2:12" ht="15.75" customHeight="1" x14ac:dyDescent="0.25"/>
    <row r="43" spans="2:12" ht="15.75" customHeight="1" x14ac:dyDescent="0.25">
      <c r="I43" s="1">
        <f>D14+D21+D35</f>
        <v>4639.5</v>
      </c>
      <c r="J43" s="1">
        <f>J41+J29+J17</f>
        <v>8342.5</v>
      </c>
      <c r="K43" s="1">
        <f>J43+I43</f>
        <v>12982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23" priority="1" operator="lessThan">
      <formula>0</formula>
    </cfRule>
    <cfRule type="cellIs" dxfId="22" priority="2" operator="greaterThan">
      <formula>0</formula>
    </cfRule>
    <cfRule type="cellIs" dxfId="21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f>5394+19+36+83</f>
        <v>5532</v>
      </c>
      <c r="P3" s="2">
        <f t="shared" ref="P3:P5" si="0">Q3+R3+S3</f>
        <v>4599</v>
      </c>
      <c r="Q3" s="2">
        <f>D14</f>
        <v>3867</v>
      </c>
      <c r="R3" s="2">
        <f>D21</f>
        <v>683</v>
      </c>
      <c r="S3" s="2">
        <f>D35</f>
        <v>49</v>
      </c>
      <c r="T3" s="7">
        <f t="shared" ref="T3:T4" si="1">O3-P3</f>
        <v>933</v>
      </c>
    </row>
    <row r="4" spans="1:20" x14ac:dyDescent="0.25">
      <c r="B4" s="8">
        <v>2</v>
      </c>
      <c r="C4" s="9" t="s">
        <v>15</v>
      </c>
      <c r="D4" s="9">
        <v>85</v>
      </c>
      <c r="E4" s="21">
        <f>'Maj25 - wydatki'!$D4-F4</f>
        <v>0</v>
      </c>
      <c r="F4" s="5">
        <v>85</v>
      </c>
      <c r="G4" s="2"/>
      <c r="H4" s="31">
        <v>1</v>
      </c>
      <c r="I4" s="9" t="s">
        <v>16</v>
      </c>
      <c r="J4" s="9">
        <v>3105</v>
      </c>
      <c r="K4" s="2"/>
      <c r="L4" s="2"/>
      <c r="N4" s="2" t="s">
        <v>17</v>
      </c>
      <c r="O4" s="11">
        <f>5431+2200+84+100</f>
        <v>7815</v>
      </c>
      <c r="P4" s="2">
        <f t="shared" si="0"/>
        <v>8748</v>
      </c>
      <c r="Q4" s="2">
        <f>J17</f>
        <v>5812</v>
      </c>
      <c r="R4" s="2">
        <f>J29</f>
        <v>2015</v>
      </c>
      <c r="S4" s="2">
        <f>J41</f>
        <v>921</v>
      </c>
      <c r="T4" s="7">
        <f t="shared" si="1"/>
        <v>-933</v>
      </c>
    </row>
    <row r="5" spans="1:20" x14ac:dyDescent="0.25">
      <c r="B5" s="8">
        <v>4</v>
      </c>
      <c r="C5" s="9" t="s">
        <v>18</v>
      </c>
      <c r="D5" s="9">
        <v>40</v>
      </c>
      <c r="E5" s="21">
        <f>'Maj25 - wydatki'!$D5-F5</f>
        <v>0</v>
      </c>
      <c r="F5" s="5">
        <v>40</v>
      </c>
      <c r="G5" s="2"/>
      <c r="H5" s="31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K43=O3+O4</f>
        <v>1</v>
      </c>
      <c r="P5" s="2">
        <f t="shared" si="0"/>
        <v>13347</v>
      </c>
      <c r="Q5" s="2">
        <f t="shared" ref="Q5:S5" si="2">Q3+Q4</f>
        <v>9679</v>
      </c>
      <c r="R5" s="2">
        <f t="shared" si="2"/>
        <v>2698</v>
      </c>
      <c r="S5" s="2">
        <f t="shared" si="2"/>
        <v>970</v>
      </c>
      <c r="T5" s="12"/>
    </row>
    <row r="6" spans="1:20" x14ac:dyDescent="0.25">
      <c r="B6" s="8">
        <v>5</v>
      </c>
      <c r="C6" s="9" t="s">
        <v>20</v>
      </c>
      <c r="D6" s="9">
        <v>700</v>
      </c>
      <c r="E6" s="21">
        <f>'Maj25 - wydatki'!$D6-F6</f>
        <v>0</v>
      </c>
      <c r="F6" s="5">
        <f>206+109+305+80</f>
        <v>700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21">
        <f>'Maj25 - wydatki'!$D7-F7</f>
        <v>0.2199999999999136</v>
      </c>
      <c r="F7" s="5">
        <f>5.5+25+6.32+72.65+22.01+65.56+25+65.2+21.7+165-15+24+124+9.49+118+27+38.35</f>
        <v>799.78000000000009</v>
      </c>
      <c r="G7" s="2"/>
      <c r="H7" s="31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1:20" x14ac:dyDescent="0.25">
      <c r="B8" s="8">
        <v>8</v>
      </c>
      <c r="C8" s="9" t="s">
        <v>149</v>
      </c>
      <c r="D8" s="9">
        <v>56</v>
      </c>
      <c r="E8" s="21">
        <f>'Maj25 - wydatki'!$D8-F8</f>
        <v>0</v>
      </c>
      <c r="F8" s="5">
        <v>56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4230+261+318-1650+300-223+300-250</f>
        <v>3286</v>
      </c>
      <c r="Q8" s="1" t="s">
        <v>160</v>
      </c>
      <c r="R8" s="1" t="s">
        <v>161</v>
      </c>
    </row>
    <row r="9" spans="1:20" x14ac:dyDescent="0.25">
      <c r="B9" s="8">
        <v>12</v>
      </c>
      <c r="C9" s="9" t="s">
        <v>29</v>
      </c>
      <c r="D9" s="9">
        <f>100+36</f>
        <v>136</v>
      </c>
      <c r="E9" s="21">
        <f>'Maj25 - wydatki'!$D9-F9</f>
        <v>0</v>
      </c>
      <c r="F9" s="5">
        <f>30+29+7+16+10+44</f>
        <v>136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5660</v>
      </c>
      <c r="Q9" s="1" t="s">
        <v>160</v>
      </c>
    </row>
    <row r="10" spans="1:20" x14ac:dyDescent="0.25">
      <c r="B10" s="8">
        <v>15</v>
      </c>
      <c r="C10" s="9" t="s">
        <v>33</v>
      </c>
      <c r="D10" s="9">
        <v>500</v>
      </c>
      <c r="E10" s="21">
        <f>'Maj25 - wydatki'!$D10-F10</f>
        <v>0</v>
      </c>
      <c r="F10" s="5">
        <v>500</v>
      </c>
      <c r="G10" s="2"/>
      <c r="H10" s="31">
        <v>13</v>
      </c>
      <c r="I10" s="9" t="s">
        <v>34</v>
      </c>
      <c r="J10" s="9">
        <v>134</v>
      </c>
      <c r="K10" s="2"/>
      <c r="L10" s="2"/>
      <c r="O10" s="1" t="s">
        <v>35</v>
      </c>
      <c r="P10" s="1">
        <v>127</v>
      </c>
      <c r="Q10" s="1" t="s">
        <v>160</v>
      </c>
    </row>
    <row r="11" spans="1:20" x14ac:dyDescent="0.25">
      <c r="B11" s="8">
        <v>17</v>
      </c>
      <c r="C11" s="9" t="s">
        <v>36</v>
      </c>
      <c r="D11" s="9">
        <v>50</v>
      </c>
      <c r="E11" s="21">
        <f>'Maj25 - wydatki'!$D11-F11</f>
        <v>50</v>
      </c>
      <c r="F11" s="5"/>
      <c r="G11" s="2"/>
      <c r="H11" s="31">
        <v>14</v>
      </c>
      <c r="I11" s="9" t="s">
        <v>37</v>
      </c>
      <c r="J11" s="9">
        <v>100</v>
      </c>
      <c r="K11" s="2"/>
      <c r="L11" s="2"/>
      <c r="P11" s="1">
        <f>P8+P9+P10</f>
        <v>9073</v>
      </c>
    </row>
    <row r="12" spans="1:20" x14ac:dyDescent="0.25">
      <c r="B12" s="8">
        <v>21</v>
      </c>
      <c r="C12" s="9" t="s">
        <v>38</v>
      </c>
      <c r="D12" s="9">
        <v>1000</v>
      </c>
      <c r="E12" s="21">
        <f>'Maj25 - wydatki'!$D12-F12</f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  <c r="O12" s="1" t="s">
        <v>33</v>
      </c>
      <c r="P12" s="1">
        <f>1510+500</f>
        <v>2010</v>
      </c>
      <c r="Q12" s="1" t="s">
        <v>160</v>
      </c>
    </row>
    <row r="13" spans="1:20" x14ac:dyDescent="0.25">
      <c r="B13" s="8">
        <v>22</v>
      </c>
      <c r="C13" s="9" t="s">
        <v>40</v>
      </c>
      <c r="D13" s="9">
        <v>500</v>
      </c>
      <c r="E13" s="21">
        <f>'Maj25 - wydatki'!$D13-F13</f>
        <v>29</v>
      </c>
      <c r="F13" s="5">
        <f>171+300</f>
        <v>471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3">SUM(D4:D13)</f>
        <v>3867</v>
      </c>
      <c r="E14" s="40">
        <f t="shared" si="3"/>
        <v>79.219999999999914</v>
      </c>
      <c r="F14" s="16">
        <f t="shared" si="3"/>
        <v>3787.78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4">SUM(J4:J16)</f>
        <v>5812</v>
      </c>
      <c r="K17" s="14">
        <f t="shared" si="4"/>
        <v>0</v>
      </c>
      <c r="L17" s="16">
        <f t="shared" si="4"/>
        <v>0</v>
      </c>
      <c r="O17" s="1">
        <f>5310-206+19+83+36</f>
        <v>5242</v>
      </c>
    </row>
    <row r="18" spans="2:19" x14ac:dyDescent="0.25">
      <c r="B18" s="8">
        <v>5</v>
      </c>
      <c r="C18" s="9" t="s">
        <v>24</v>
      </c>
      <c r="D18" s="9">
        <f>300+83</f>
        <v>383</v>
      </c>
      <c r="E18" s="36">
        <f t="shared" ref="E18:E20" si="5">D18-F18</f>
        <v>0</v>
      </c>
      <c r="F18" s="5">
        <f>256+127</f>
        <v>383</v>
      </c>
    </row>
    <row r="19" spans="2:19" x14ac:dyDescent="0.25">
      <c r="B19" s="19"/>
      <c r="C19" s="9" t="s">
        <v>48</v>
      </c>
      <c r="D19" s="9">
        <v>300</v>
      </c>
      <c r="E19" s="36">
        <f t="shared" si="5"/>
        <v>0</v>
      </c>
      <c r="F19" s="5">
        <v>300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 t="shared" si="5"/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6">SUM(D18:D20)</f>
        <v>683</v>
      </c>
      <c r="E21" s="37">
        <f t="shared" si="6"/>
        <v>0</v>
      </c>
      <c r="F21" s="16">
        <f t="shared" si="6"/>
        <v>683</v>
      </c>
      <c r="H21" s="31">
        <v>6</v>
      </c>
      <c r="I21" s="2" t="s">
        <v>51</v>
      </c>
      <c r="J21" s="9">
        <v>1071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220</v>
      </c>
      <c r="K22" s="2"/>
      <c r="L22" s="2"/>
      <c r="O22" s="1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124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/>
      <c r="K24" s="2"/>
      <c r="L24" s="2"/>
      <c r="O24" s="1"/>
    </row>
    <row r="25" spans="2:19" ht="15.75" customHeight="1" x14ac:dyDescent="0.25">
      <c r="B25" s="8">
        <v>8</v>
      </c>
      <c r="C25" s="9" t="s">
        <v>56</v>
      </c>
      <c r="D25" s="9">
        <f>30+19</f>
        <v>49</v>
      </c>
      <c r="E25" s="21">
        <f t="shared" ref="E25:E29" si="7">D25-F25</f>
        <v>0</v>
      </c>
      <c r="F25" s="5">
        <f>22+15+12</f>
        <v>49</v>
      </c>
      <c r="H25" s="9"/>
      <c r="I25" s="2" t="s">
        <v>144</v>
      </c>
      <c r="J25" s="9"/>
      <c r="K25" s="2"/>
      <c r="L25" s="2"/>
    </row>
    <row r="26" spans="2:19" ht="15.75" customHeight="1" x14ac:dyDescent="0.25">
      <c r="B26" s="19"/>
      <c r="C26" s="9" t="s">
        <v>152</v>
      </c>
      <c r="D26" s="9">
        <v>0</v>
      </c>
      <c r="E26" s="21">
        <f t="shared" si="7"/>
        <v>0</v>
      </c>
      <c r="F26" s="5"/>
      <c r="H26" s="31">
        <v>21</v>
      </c>
      <c r="I26" s="2" t="s">
        <v>59</v>
      </c>
      <c r="J26" s="9">
        <v>300</v>
      </c>
      <c r="K26" s="2"/>
      <c r="L26" s="2"/>
    </row>
    <row r="27" spans="2:19" ht="15.75" customHeight="1" x14ac:dyDescent="0.25">
      <c r="B27" s="19"/>
      <c r="C27" s="9" t="s">
        <v>109</v>
      </c>
      <c r="D27" s="9">
        <v>0</v>
      </c>
      <c r="E27" s="21">
        <f t="shared" si="7"/>
        <v>0</v>
      </c>
      <c r="F27" s="5"/>
      <c r="H27" s="31">
        <v>25</v>
      </c>
      <c r="I27" s="2" t="s">
        <v>61</v>
      </c>
      <c r="J27" s="9">
        <v>300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>
        <v>0</v>
      </c>
      <c r="E28" s="21">
        <f t="shared" si="7"/>
        <v>0</v>
      </c>
      <c r="F28" s="23"/>
      <c r="H28" s="1"/>
      <c r="I28" s="2" t="s">
        <v>145</v>
      </c>
      <c r="J28" s="9"/>
      <c r="K28" s="2"/>
      <c r="L28" s="1"/>
    </row>
    <row r="29" spans="2:19" ht="15.75" customHeight="1" x14ac:dyDescent="0.25">
      <c r="B29" s="19"/>
      <c r="C29" s="9" t="s">
        <v>136</v>
      </c>
      <c r="D29" s="9">
        <v>0</v>
      </c>
      <c r="E29" s="21">
        <f t="shared" si="7"/>
        <v>0</v>
      </c>
      <c r="F29" s="5"/>
      <c r="H29" s="33"/>
      <c r="I29" s="34" t="s">
        <v>41</v>
      </c>
      <c r="J29" s="34">
        <f>SUM(J21:J28)</f>
        <v>2015</v>
      </c>
      <c r="K29" s="34">
        <f t="shared" ref="K29:L29" si="8">SUM(K21:K27)</f>
        <v>0</v>
      </c>
      <c r="L29" s="35">
        <f t="shared" si="8"/>
        <v>0</v>
      </c>
    </row>
    <row r="30" spans="2:19" ht="15.75" customHeight="1" x14ac:dyDescent="0.25">
      <c r="B30" s="17"/>
      <c r="C30" s="2"/>
      <c r="D30" s="2"/>
      <c r="E30" s="21"/>
      <c r="F30" s="23"/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>
        <v>90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>
        <v>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9">SUM(D25:D34)</f>
        <v>49</v>
      </c>
      <c r="E35" s="26">
        <f t="shared" si="9"/>
        <v>0</v>
      </c>
      <c r="F35" s="27">
        <f>SUM(F25:F30)</f>
        <v>49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155</v>
      </c>
      <c r="J36" s="9">
        <v>300</v>
      </c>
      <c r="K36" s="2"/>
      <c r="L36" s="2"/>
    </row>
    <row r="37" spans="2:12" ht="15.75" customHeight="1" x14ac:dyDescent="0.25">
      <c r="C37" s="1" t="s">
        <v>87</v>
      </c>
      <c r="E37" s="28">
        <f>E14+E21+E35</f>
        <v>79.219999999999914</v>
      </c>
      <c r="H37" s="9"/>
      <c r="I37" s="2" t="s">
        <v>162</v>
      </c>
      <c r="J37" s="9">
        <v>231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/>
      <c r="K38" s="2"/>
      <c r="L38" s="2"/>
    </row>
    <row r="39" spans="2:12" ht="15.75" customHeight="1" x14ac:dyDescent="0.25">
      <c r="C39" s="1" t="s">
        <v>79</v>
      </c>
      <c r="E39" s="28">
        <f>E37+E38</f>
        <v>79.219999999999914</v>
      </c>
      <c r="H39" s="9"/>
      <c r="I39" s="2" t="s">
        <v>119</v>
      </c>
      <c r="J39" s="9">
        <v>50</v>
      </c>
      <c r="K39" s="2"/>
      <c r="L39" s="2"/>
    </row>
    <row r="40" spans="2:12" ht="15.75" customHeight="1" x14ac:dyDescent="0.25">
      <c r="H40" s="1"/>
      <c r="I40" s="2" t="s">
        <v>159</v>
      </c>
      <c r="J40" s="9">
        <v>200</v>
      </c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921</v>
      </c>
      <c r="K41" s="34">
        <f t="shared" ref="K41:L41" si="10">SUM(K33:K39)</f>
        <v>0</v>
      </c>
      <c r="L41" s="35">
        <f t="shared" si="10"/>
        <v>0</v>
      </c>
    </row>
    <row r="42" spans="2:12" ht="15.75" customHeight="1" x14ac:dyDescent="0.25"/>
    <row r="43" spans="2:12" ht="15.75" customHeight="1" x14ac:dyDescent="0.25">
      <c r="I43" s="1">
        <f>D14+D21+D35</f>
        <v>4599</v>
      </c>
      <c r="J43" s="1">
        <f>J41+J29+J17</f>
        <v>8748</v>
      </c>
      <c r="K43" s="1">
        <f>J43+I43</f>
        <v>13347</v>
      </c>
    </row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20" priority="1" operator="lessThan">
      <formula>0</formula>
    </cfRule>
    <cfRule type="cellIs" dxfId="19" priority="2" operator="greaterThan">
      <formula>0</formula>
    </cfRule>
    <cfRule type="cellIs" dxfId="18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5110</v>
      </c>
      <c r="P3" s="2">
        <f t="shared" ref="P3:P5" si="0">Q3+R3+S3</f>
        <v>4497</v>
      </c>
      <c r="Q3" s="2">
        <f>D14</f>
        <v>4031</v>
      </c>
      <c r="R3" s="2">
        <f>D21</f>
        <v>366</v>
      </c>
      <c r="S3" s="2">
        <f>D35</f>
        <v>100</v>
      </c>
      <c r="T3" s="7">
        <f t="shared" ref="T3:T4" si="1">O3-P3</f>
        <v>613</v>
      </c>
    </row>
    <row r="4" spans="1:20" x14ac:dyDescent="0.25">
      <c r="B4" s="8">
        <v>2</v>
      </c>
      <c r="C4" s="9" t="s">
        <v>15</v>
      </c>
      <c r="D4" s="9">
        <v>85</v>
      </c>
      <c r="E4" s="21">
        <f t="shared" ref="E4:E13" si="2">D4-F4</f>
        <v>0</v>
      </c>
      <c r="F4" s="5">
        <v>85</v>
      </c>
      <c r="G4" s="2"/>
      <c r="H4" s="31">
        <v>1</v>
      </c>
      <c r="I4" s="9" t="s">
        <v>16</v>
      </c>
      <c r="J4" s="9">
        <v>3102</v>
      </c>
      <c r="K4" s="2"/>
      <c r="L4" s="2"/>
      <c r="N4" s="2" t="s">
        <v>17</v>
      </c>
      <c r="O4" s="11">
        <v>8013</v>
      </c>
      <c r="P4" s="2">
        <f t="shared" si="0"/>
        <v>8626</v>
      </c>
      <c r="Q4" s="2">
        <f>J17</f>
        <v>5725</v>
      </c>
      <c r="R4" s="2">
        <f>J29</f>
        <v>2090</v>
      </c>
      <c r="S4" s="2">
        <f>J41</f>
        <v>811</v>
      </c>
      <c r="T4" s="7">
        <f t="shared" si="1"/>
        <v>-613</v>
      </c>
    </row>
    <row r="5" spans="1:20" x14ac:dyDescent="0.25">
      <c r="B5" s="8">
        <v>4</v>
      </c>
      <c r="C5" s="9" t="s">
        <v>18</v>
      </c>
      <c r="D5" s="9">
        <v>40</v>
      </c>
      <c r="E5" s="21">
        <f t="shared" si="2"/>
        <v>0</v>
      </c>
      <c r="F5" s="5">
        <v>40</v>
      </c>
      <c r="G5" s="2"/>
      <c r="H5" s="31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E27=O3+O4</f>
        <v>0</v>
      </c>
      <c r="P5" s="2">
        <f t="shared" si="0"/>
        <v>13123</v>
      </c>
      <c r="Q5" s="2">
        <f t="shared" ref="Q5:S5" si="3">Q3+Q4</f>
        <v>9756</v>
      </c>
      <c r="R5" s="2">
        <f t="shared" si="3"/>
        <v>2456</v>
      </c>
      <c r="S5" s="2">
        <f t="shared" si="3"/>
        <v>911</v>
      </c>
      <c r="T5" s="12"/>
    </row>
    <row r="6" spans="1:20" x14ac:dyDescent="0.25">
      <c r="B6" s="8">
        <v>5</v>
      </c>
      <c r="C6" s="9" t="s">
        <v>20</v>
      </c>
      <c r="D6" s="9">
        <v>800</v>
      </c>
      <c r="E6" s="21">
        <f t="shared" si="2"/>
        <v>75</v>
      </c>
      <c r="F6" s="5">
        <f>262+250+93+120</f>
        <v>725</v>
      </c>
      <c r="G6" s="2"/>
      <c r="H6" s="31">
        <v>7</v>
      </c>
      <c r="I6" s="9" t="s">
        <v>21</v>
      </c>
      <c r="J6" s="9">
        <v>800</v>
      </c>
      <c r="K6" s="2"/>
      <c r="L6" s="2"/>
    </row>
    <row r="7" spans="1:20" x14ac:dyDescent="0.25">
      <c r="B7" s="8">
        <v>6</v>
      </c>
      <c r="C7" s="9" t="s">
        <v>21</v>
      </c>
      <c r="D7" s="9">
        <v>900</v>
      </c>
      <c r="E7" s="21">
        <f t="shared" si="2"/>
        <v>0.34999999999979536</v>
      </c>
      <c r="F7" s="5">
        <f>8.85+29.65+105.83+46.17+2+2+2+51.27+103.08+16.37+46.79+73.37+7.98+66.65+37.79+78.03+12.97+5.99+67.61+126+14.47+6.57+21.21-33</f>
        <v>899.6500000000002</v>
      </c>
      <c r="G7" s="2"/>
      <c r="H7" s="31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1:20" x14ac:dyDescent="0.25">
      <c r="B8" s="8">
        <v>8</v>
      </c>
      <c r="C8" s="9" t="s">
        <v>149</v>
      </c>
      <c r="D8" s="9">
        <v>56</v>
      </c>
      <c r="E8" s="21">
        <f t="shared" si="2"/>
        <v>0</v>
      </c>
      <c r="F8" s="5">
        <v>56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</f>
        <v>4809</v>
      </c>
      <c r="Q8" s="1" t="s">
        <v>86</v>
      </c>
    </row>
    <row r="9" spans="1:20" x14ac:dyDescent="0.25">
      <c r="B9" s="8">
        <v>12</v>
      </c>
      <c r="C9" s="9" t="s">
        <v>29</v>
      </c>
      <c r="D9" s="9">
        <v>100</v>
      </c>
      <c r="E9" s="21">
        <f t="shared" si="2"/>
        <v>2</v>
      </c>
      <c r="F9" s="5">
        <f>10+28+49+11</f>
        <v>98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3660</v>
      </c>
      <c r="Q9" s="1" t="s">
        <v>28</v>
      </c>
    </row>
    <row r="10" spans="1:20" x14ac:dyDescent="0.25">
      <c r="B10" s="8">
        <v>15</v>
      </c>
      <c r="C10" s="9" t="s">
        <v>33</v>
      </c>
      <c r="D10" s="9">
        <v>500</v>
      </c>
      <c r="E10" s="21">
        <f t="shared" si="2"/>
        <v>0</v>
      </c>
      <c r="F10" s="5">
        <v>500</v>
      </c>
      <c r="G10" s="2"/>
      <c r="H10" s="31">
        <v>13</v>
      </c>
      <c r="I10" s="9" t="s">
        <v>34</v>
      </c>
      <c r="J10" s="9">
        <v>50</v>
      </c>
      <c r="K10" s="2"/>
      <c r="L10" s="2"/>
      <c r="P10" s="1">
        <f>P8+P9</f>
        <v>8469</v>
      </c>
    </row>
    <row r="11" spans="1:20" x14ac:dyDescent="0.25">
      <c r="B11" s="8">
        <v>17</v>
      </c>
      <c r="C11" s="9" t="s">
        <v>36</v>
      </c>
      <c r="D11" s="9">
        <v>50</v>
      </c>
      <c r="E11" s="21">
        <f t="shared" si="2"/>
        <v>15</v>
      </c>
      <c r="F11" s="5">
        <v>35</v>
      </c>
      <c r="G11" s="2"/>
      <c r="H11" s="31">
        <v>14</v>
      </c>
      <c r="I11" s="9" t="s">
        <v>37</v>
      </c>
      <c r="J11" s="9">
        <v>100</v>
      </c>
      <c r="K11" s="2"/>
      <c r="L11" s="2"/>
    </row>
    <row r="12" spans="1:20" x14ac:dyDescent="0.25">
      <c r="B12" s="8">
        <v>21</v>
      </c>
      <c r="C12" s="9" t="s">
        <v>38</v>
      </c>
      <c r="D12" s="9">
        <v>1000</v>
      </c>
      <c r="E12" s="21">
        <f t="shared" si="2"/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</row>
    <row r="13" spans="1:20" x14ac:dyDescent="0.25">
      <c r="B13" s="8">
        <v>22</v>
      </c>
      <c r="C13" s="9" t="s">
        <v>40</v>
      </c>
      <c r="D13" s="9">
        <v>500</v>
      </c>
      <c r="E13" s="21">
        <f t="shared" si="2"/>
        <v>0</v>
      </c>
      <c r="F13" s="5">
        <f>431+18+51</f>
        <v>500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4">SUM(D4:D13)</f>
        <v>4031</v>
      </c>
      <c r="E14" s="40">
        <f t="shared" si="4"/>
        <v>92.349999999999795</v>
      </c>
      <c r="F14" s="16">
        <f t="shared" si="4"/>
        <v>3938.65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/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5">SUM(J4:J16)</f>
        <v>5725</v>
      </c>
      <c r="K17" s="14">
        <f t="shared" si="5"/>
        <v>0</v>
      </c>
      <c r="L17" s="16">
        <f t="shared" si="5"/>
        <v>0</v>
      </c>
    </row>
    <row r="18" spans="2:19" x14ac:dyDescent="0.25">
      <c r="B18" s="8">
        <v>5</v>
      </c>
      <c r="C18" s="9" t="s">
        <v>24</v>
      </c>
      <c r="D18" s="9">
        <v>316</v>
      </c>
      <c r="E18" s="36">
        <f t="shared" ref="E18:E20" si="6">D18-F18</f>
        <v>0</v>
      </c>
      <c r="F18" s="5">
        <v>316</v>
      </c>
    </row>
    <row r="19" spans="2:19" x14ac:dyDescent="0.25">
      <c r="B19" s="19"/>
      <c r="C19" s="9" t="s">
        <v>48</v>
      </c>
      <c r="D19" s="9">
        <v>50</v>
      </c>
      <c r="E19" s="36">
        <f t="shared" si="6"/>
        <v>0</v>
      </c>
      <c r="F19" s="5">
        <f>50</f>
        <v>50</v>
      </c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 t="shared" si="6"/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7">SUM(D18:D20)</f>
        <v>366</v>
      </c>
      <c r="E21" s="37">
        <f t="shared" si="7"/>
        <v>0</v>
      </c>
      <c r="F21" s="16">
        <f t="shared" si="7"/>
        <v>366</v>
      </c>
      <c r="H21" s="31">
        <v>6</v>
      </c>
      <c r="I21" s="2" t="s">
        <v>51</v>
      </c>
      <c r="J21" s="9">
        <v>1071</v>
      </c>
      <c r="K21" s="2"/>
      <c r="L21" s="2"/>
      <c r="P21" s="1"/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200</v>
      </c>
      <c r="K23" s="2"/>
      <c r="L23" s="2"/>
      <c r="P23" s="1">
        <f>57+31+35.75+20.35+46</f>
        <v>190.1</v>
      </c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>
        <v>0</v>
      </c>
      <c r="K24" s="2"/>
      <c r="L24" s="2"/>
    </row>
    <row r="25" spans="2:19" ht="15.75" customHeight="1" x14ac:dyDescent="0.25">
      <c r="B25" s="8">
        <v>8</v>
      </c>
      <c r="C25" s="9" t="s">
        <v>56</v>
      </c>
      <c r="D25" s="9">
        <v>50</v>
      </c>
      <c r="E25" s="21">
        <f t="shared" ref="E25:E29" si="8">D25-F25</f>
        <v>0</v>
      </c>
      <c r="F25" s="5">
        <f>20+15+15</f>
        <v>50</v>
      </c>
      <c r="H25" s="9"/>
      <c r="I25" s="2" t="s">
        <v>144</v>
      </c>
      <c r="J25" s="9">
        <v>0</v>
      </c>
      <c r="K25" s="2"/>
      <c r="L25" s="2"/>
    </row>
    <row r="26" spans="2:19" ht="15.75" customHeight="1" x14ac:dyDescent="0.25">
      <c r="B26" s="19"/>
      <c r="C26" s="9" t="s">
        <v>152</v>
      </c>
      <c r="D26" s="9">
        <v>0</v>
      </c>
      <c r="E26" s="21">
        <f t="shared" si="8"/>
        <v>0</v>
      </c>
      <c r="F26" s="5"/>
      <c r="H26" s="31">
        <v>21</v>
      </c>
      <c r="I26" s="2" t="s">
        <v>59</v>
      </c>
      <c r="J26" s="9">
        <v>300</v>
      </c>
      <c r="K26" s="2"/>
      <c r="L26" s="2"/>
    </row>
    <row r="27" spans="2:19" ht="15.75" customHeight="1" x14ac:dyDescent="0.25">
      <c r="B27" s="19"/>
      <c r="C27" s="9" t="s">
        <v>109</v>
      </c>
      <c r="D27" s="9">
        <v>0</v>
      </c>
      <c r="E27" s="21">
        <f t="shared" si="8"/>
        <v>0</v>
      </c>
      <c r="F27" s="5"/>
      <c r="H27" s="31">
        <v>25</v>
      </c>
      <c r="I27" s="2" t="s">
        <v>61</v>
      </c>
      <c r="J27" s="9">
        <v>319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9">
        <v>0</v>
      </c>
      <c r="E28" s="21">
        <f t="shared" si="8"/>
        <v>0</v>
      </c>
      <c r="F28" s="23"/>
      <c r="H28" s="1"/>
      <c r="I28" s="2" t="s">
        <v>145</v>
      </c>
      <c r="J28" s="9">
        <v>0</v>
      </c>
      <c r="K28" s="2"/>
      <c r="L28" s="1"/>
    </row>
    <row r="29" spans="2:19" ht="15.75" customHeight="1" x14ac:dyDescent="0.25">
      <c r="B29" s="19"/>
      <c r="C29" s="9" t="s">
        <v>136</v>
      </c>
      <c r="D29" s="9">
        <v>50</v>
      </c>
      <c r="E29" s="21">
        <f t="shared" si="8"/>
        <v>42</v>
      </c>
      <c r="F29" s="5">
        <v>8</v>
      </c>
      <c r="H29" s="33"/>
      <c r="I29" s="34" t="s">
        <v>41</v>
      </c>
      <c r="J29" s="34">
        <f>SUM(J21:J28)</f>
        <v>2090</v>
      </c>
      <c r="K29" s="34">
        <f t="shared" ref="K29:L29" si="9">SUM(K21:K27)</f>
        <v>0</v>
      </c>
      <c r="L29" s="35">
        <f t="shared" si="9"/>
        <v>0</v>
      </c>
    </row>
    <row r="30" spans="2:19" ht="15.75" customHeight="1" x14ac:dyDescent="0.25">
      <c r="B30" s="17"/>
      <c r="C30" s="1"/>
      <c r="D30" s="1"/>
      <c r="E30" s="1"/>
      <c r="F30" s="23"/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>
        <v>47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>
        <v>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10">SUM(D25:D34)</f>
        <v>100</v>
      </c>
      <c r="E35" s="26">
        <f t="shared" si="10"/>
        <v>42</v>
      </c>
      <c r="F35" s="27">
        <f>SUM(F25:F27)</f>
        <v>50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155</v>
      </c>
      <c r="J36" s="9">
        <v>300</v>
      </c>
      <c r="K36" s="2"/>
      <c r="L36" s="2"/>
    </row>
    <row r="37" spans="2:12" ht="15.75" customHeight="1" x14ac:dyDescent="0.25">
      <c r="C37" s="1" t="s">
        <v>87</v>
      </c>
      <c r="E37" s="28">
        <f>E14+E21+E35</f>
        <v>134.3499999999998</v>
      </c>
      <c r="H37" s="9"/>
      <c r="I37" s="2" t="s">
        <v>163</v>
      </c>
      <c r="J37" s="9">
        <v>38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>
        <v>0</v>
      </c>
      <c r="K38" s="2"/>
      <c r="L38" s="2"/>
    </row>
    <row r="39" spans="2:12" ht="15.75" customHeight="1" x14ac:dyDescent="0.25">
      <c r="C39" s="1" t="s">
        <v>79</v>
      </c>
      <c r="E39" s="28">
        <f>E37+E38</f>
        <v>134.3499999999998</v>
      </c>
      <c r="H39" s="9"/>
      <c r="I39" s="2" t="s">
        <v>164</v>
      </c>
      <c r="J39" s="9">
        <v>96</v>
      </c>
      <c r="K39" s="2"/>
      <c r="L39" s="2"/>
    </row>
    <row r="40" spans="2:12" ht="15.75" customHeight="1" x14ac:dyDescent="0.25">
      <c r="H40" s="1"/>
      <c r="I40" s="2" t="s">
        <v>157</v>
      </c>
      <c r="J40" s="9">
        <v>280</v>
      </c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811</v>
      </c>
      <c r="K41" s="34">
        <f t="shared" ref="K41:L41" si="11">SUM(K33:K39)</f>
        <v>0</v>
      </c>
      <c r="L41" s="35">
        <f t="shared" si="11"/>
        <v>0</v>
      </c>
    </row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17" priority="1" operator="lessThan">
      <formula>0</formula>
    </cfRule>
    <cfRule type="cellIs" dxfId="16" priority="2" operator="greaterThan">
      <formula>0</formula>
    </cfRule>
    <cfRule type="cellIs" dxfId="15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1:20" ht="6.75" customHeight="1" x14ac:dyDescent="0.25">
      <c r="A1" s="1" t="s">
        <v>0</v>
      </c>
    </row>
    <row r="2" spans="1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1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5350</v>
      </c>
      <c r="P3" s="2">
        <f t="shared" ref="P3:P5" si="0">Q3+R3+S3</f>
        <v>4565</v>
      </c>
      <c r="Q3" s="2">
        <f>D14</f>
        <v>4081</v>
      </c>
      <c r="R3" s="2">
        <f>D21</f>
        <v>300</v>
      </c>
      <c r="S3" s="2">
        <f>D35</f>
        <v>184</v>
      </c>
      <c r="T3" s="7">
        <f t="shared" ref="T3:T4" si="1">O3-P3</f>
        <v>785</v>
      </c>
    </row>
    <row r="4" spans="1:20" x14ac:dyDescent="0.25">
      <c r="B4" s="8">
        <v>2</v>
      </c>
      <c r="C4" s="9" t="s">
        <v>15</v>
      </c>
      <c r="D4" s="9">
        <v>85</v>
      </c>
      <c r="E4" s="21">
        <f t="shared" ref="E4:E13" si="2">D4-F4</f>
        <v>0</v>
      </c>
      <c r="F4" s="5">
        <f>25+60</f>
        <v>85</v>
      </c>
      <c r="G4" s="2"/>
      <c r="H4" s="31">
        <v>1</v>
      </c>
      <c r="I4" s="9" t="s">
        <v>16</v>
      </c>
      <c r="J4" s="9">
        <v>3102</v>
      </c>
      <c r="K4" s="2"/>
      <c r="L4" s="2"/>
      <c r="N4" s="2" t="s">
        <v>17</v>
      </c>
      <c r="O4" s="11">
        <v>7480</v>
      </c>
      <c r="P4" s="2">
        <f t="shared" si="0"/>
        <v>8264</v>
      </c>
      <c r="Q4" s="2">
        <f>J17</f>
        <v>5719</v>
      </c>
      <c r="R4" s="2">
        <f>J29</f>
        <v>2035</v>
      </c>
      <c r="S4" s="2">
        <f>J41</f>
        <v>510</v>
      </c>
      <c r="T4" s="7">
        <f t="shared" si="1"/>
        <v>-784</v>
      </c>
    </row>
    <row r="5" spans="1:20" x14ac:dyDescent="0.25">
      <c r="B5" s="8">
        <v>4</v>
      </c>
      <c r="C5" s="9" t="s">
        <v>18</v>
      </c>
      <c r="D5" s="9">
        <v>40</v>
      </c>
      <c r="E5" s="21">
        <f t="shared" si="2"/>
        <v>0</v>
      </c>
      <c r="F5" s="5">
        <f>40</f>
        <v>40</v>
      </c>
      <c r="G5" s="2"/>
      <c r="H5" s="31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E27=O3+O4</f>
        <v>0</v>
      </c>
      <c r="P5" s="2">
        <f t="shared" si="0"/>
        <v>12829</v>
      </c>
      <c r="Q5" s="2">
        <f t="shared" ref="Q5:S5" si="3">Q3+Q4</f>
        <v>9800</v>
      </c>
      <c r="R5" s="2">
        <f t="shared" si="3"/>
        <v>2335</v>
      </c>
      <c r="S5" s="2">
        <f t="shared" si="3"/>
        <v>694</v>
      </c>
      <c r="T5" s="12"/>
    </row>
    <row r="6" spans="1:20" x14ac:dyDescent="0.25">
      <c r="B6" s="8">
        <v>5</v>
      </c>
      <c r="C6" s="9" t="s">
        <v>20</v>
      </c>
      <c r="D6" s="9">
        <v>800</v>
      </c>
      <c r="E6" s="21">
        <f t="shared" si="2"/>
        <v>0</v>
      </c>
      <c r="F6" s="5">
        <f>220+320+125+135</f>
        <v>800</v>
      </c>
      <c r="G6" s="2"/>
      <c r="H6" s="31">
        <v>7</v>
      </c>
      <c r="I6" s="9" t="s">
        <v>21</v>
      </c>
      <c r="J6" s="9">
        <v>794</v>
      </c>
      <c r="K6" s="2"/>
      <c r="L6" s="2"/>
    </row>
    <row r="7" spans="1:20" x14ac:dyDescent="0.25">
      <c r="B7" s="8">
        <v>6</v>
      </c>
      <c r="C7" s="9" t="s">
        <v>21</v>
      </c>
      <c r="D7" s="9">
        <v>800</v>
      </c>
      <c r="E7" s="21">
        <f t="shared" si="2"/>
        <v>-6.9999999999936335E-2</v>
      </c>
      <c r="F7" s="5">
        <f>26.56+114.51+6.99+9.9+6.33+57.52+51.38+146.36+40.83+31.5+43.09+50.77+19.53+14.7+15.42+9.72+17.5+10.68+104.81+14.97+7</f>
        <v>800.06999999999994</v>
      </c>
      <c r="G7" s="2"/>
      <c r="H7" s="31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1:20" x14ac:dyDescent="0.25">
      <c r="B8" s="8">
        <v>8</v>
      </c>
      <c r="C8" s="9" t="s">
        <v>149</v>
      </c>
      <c r="D8" s="9">
        <v>56</v>
      </c>
      <c r="E8" s="21">
        <f t="shared" si="2"/>
        <v>0</v>
      </c>
      <c r="F8" s="5">
        <v>56</v>
      </c>
      <c r="G8" s="2"/>
      <c r="H8" s="31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4230+261+318</f>
        <v>4809</v>
      </c>
      <c r="Q8" s="1" t="s">
        <v>86</v>
      </c>
    </row>
    <row r="9" spans="1:20" x14ac:dyDescent="0.25">
      <c r="B9" s="8">
        <v>12</v>
      </c>
      <c r="C9" s="9" t="s">
        <v>29</v>
      </c>
      <c r="D9" s="9">
        <v>100</v>
      </c>
      <c r="E9" s="21">
        <f t="shared" si="2"/>
        <v>0</v>
      </c>
      <c r="F9" s="5">
        <f>10+4+22+7+28+7.5+21.5</f>
        <v>100</v>
      </c>
      <c r="G9" s="2"/>
      <c r="H9" s="31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2670</v>
      </c>
      <c r="Q9" s="1" t="s">
        <v>28</v>
      </c>
    </row>
    <row r="10" spans="1:20" x14ac:dyDescent="0.25">
      <c r="B10" s="8">
        <v>15</v>
      </c>
      <c r="C10" s="9" t="s">
        <v>33</v>
      </c>
      <c r="D10" s="9">
        <v>600</v>
      </c>
      <c r="E10" s="21">
        <f t="shared" si="2"/>
        <v>0</v>
      </c>
      <c r="F10" s="5">
        <v>600</v>
      </c>
      <c r="G10" s="2"/>
      <c r="H10" s="31">
        <v>13</v>
      </c>
      <c r="I10" s="9" t="s">
        <v>34</v>
      </c>
      <c r="J10" s="9">
        <v>50</v>
      </c>
      <c r="K10" s="2"/>
      <c r="L10" s="2"/>
      <c r="P10" s="1">
        <f>P8+P9</f>
        <v>7479</v>
      </c>
    </row>
    <row r="11" spans="1:20" x14ac:dyDescent="0.25">
      <c r="B11" s="8">
        <v>17</v>
      </c>
      <c r="C11" s="9" t="s">
        <v>36</v>
      </c>
      <c r="D11" s="9">
        <v>50</v>
      </c>
      <c r="E11" s="21">
        <f t="shared" si="2"/>
        <v>20</v>
      </c>
      <c r="F11" s="5">
        <f>30</f>
        <v>30</v>
      </c>
      <c r="G11" s="2"/>
      <c r="H11" s="31">
        <v>14</v>
      </c>
      <c r="I11" s="9" t="s">
        <v>37</v>
      </c>
      <c r="J11" s="9">
        <v>100</v>
      </c>
      <c r="K11" s="2"/>
      <c r="L11" s="2"/>
    </row>
    <row r="12" spans="1:20" x14ac:dyDescent="0.25">
      <c r="B12" s="8">
        <v>21</v>
      </c>
      <c r="C12" s="9" t="s">
        <v>38</v>
      </c>
      <c r="D12" s="9">
        <v>1000</v>
      </c>
      <c r="E12" s="21">
        <f t="shared" si="2"/>
        <v>0</v>
      </c>
      <c r="F12" s="5">
        <v>1000</v>
      </c>
      <c r="G12" s="2"/>
      <c r="H12" s="31">
        <v>16</v>
      </c>
      <c r="I12" s="9" t="s">
        <v>39</v>
      </c>
      <c r="J12" s="9">
        <v>100</v>
      </c>
      <c r="K12" s="2"/>
      <c r="L12" s="2"/>
    </row>
    <row r="13" spans="1:20" x14ac:dyDescent="0.25">
      <c r="B13" s="8">
        <v>22</v>
      </c>
      <c r="C13" s="9" t="s">
        <v>40</v>
      </c>
      <c r="D13" s="9">
        <v>550</v>
      </c>
      <c r="E13" s="21">
        <f t="shared" si="2"/>
        <v>-18.440000000000055</v>
      </c>
      <c r="F13" s="5">
        <f>135+300+7.44+126</f>
        <v>568.44000000000005</v>
      </c>
      <c r="G13" s="2"/>
      <c r="H13" s="31">
        <v>18</v>
      </c>
      <c r="I13" s="9" t="s">
        <v>36</v>
      </c>
      <c r="J13" s="9">
        <v>50</v>
      </c>
      <c r="K13" s="2"/>
      <c r="L13" s="2"/>
    </row>
    <row r="14" spans="1:20" x14ac:dyDescent="0.25">
      <c r="B14" s="13"/>
      <c r="C14" s="14" t="s">
        <v>41</v>
      </c>
      <c r="D14" s="14">
        <f t="shared" ref="D14:F14" si="4">SUM(D4:D13)</f>
        <v>4081</v>
      </c>
      <c r="E14" s="40">
        <f t="shared" si="4"/>
        <v>1.4900000000000091</v>
      </c>
      <c r="F14" s="16">
        <f t="shared" si="4"/>
        <v>4079.5099999999998</v>
      </c>
      <c r="G14" s="2"/>
      <c r="H14" s="31">
        <v>19</v>
      </c>
      <c r="I14" s="9" t="s">
        <v>42</v>
      </c>
      <c r="J14" s="9">
        <v>350</v>
      </c>
      <c r="K14" s="2"/>
      <c r="L14" s="2"/>
    </row>
    <row r="15" spans="1:20" x14ac:dyDescent="0.25">
      <c r="G15" s="2"/>
      <c r="H15" s="31">
        <v>20</v>
      </c>
      <c r="I15" s="9" t="s">
        <v>44</v>
      </c>
      <c r="J15" s="9">
        <v>50</v>
      </c>
      <c r="K15" s="2">
        <v>10</v>
      </c>
      <c r="L15" s="2"/>
    </row>
    <row r="16" spans="1:20" x14ac:dyDescent="0.25">
      <c r="B16" s="98" t="s">
        <v>45</v>
      </c>
      <c r="C16" s="96"/>
      <c r="D16" s="96"/>
      <c r="E16" s="96"/>
      <c r="F16" s="97"/>
      <c r="G16" s="2"/>
      <c r="H16" s="31">
        <v>23</v>
      </c>
      <c r="I16" s="9" t="s">
        <v>46</v>
      </c>
      <c r="J16" s="9">
        <v>500</v>
      </c>
      <c r="K16" s="2"/>
      <c r="L16" s="2"/>
    </row>
    <row r="17" spans="2:19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5">SUM(J4:J16)</f>
        <v>5719</v>
      </c>
      <c r="K17" s="14">
        <f t="shared" si="5"/>
        <v>10</v>
      </c>
      <c r="L17" s="16">
        <f t="shared" si="5"/>
        <v>0</v>
      </c>
    </row>
    <row r="18" spans="2:19" x14ac:dyDescent="0.25">
      <c r="B18" s="8">
        <v>5</v>
      </c>
      <c r="C18" s="9" t="s">
        <v>24</v>
      </c>
      <c r="D18" s="9">
        <v>300</v>
      </c>
      <c r="E18" s="36">
        <f t="shared" ref="E18:E20" si="6">D18-F18</f>
        <v>0</v>
      </c>
      <c r="F18" s="5">
        <v>300</v>
      </c>
    </row>
    <row r="19" spans="2:19" x14ac:dyDescent="0.25">
      <c r="B19" s="19"/>
      <c r="C19" s="9" t="s">
        <v>48</v>
      </c>
      <c r="D19" s="9">
        <v>0</v>
      </c>
      <c r="E19" s="36">
        <f t="shared" si="6"/>
        <v>0</v>
      </c>
      <c r="F19" s="5"/>
      <c r="H19" s="95" t="s">
        <v>49</v>
      </c>
      <c r="I19" s="96"/>
      <c r="J19" s="96"/>
      <c r="K19" s="96"/>
      <c r="L19" s="97"/>
    </row>
    <row r="20" spans="2:19" x14ac:dyDescent="0.25">
      <c r="B20" s="19"/>
      <c r="C20" s="9" t="s">
        <v>50</v>
      </c>
      <c r="D20" s="9"/>
      <c r="E20" s="36">
        <f t="shared" si="6"/>
        <v>0</v>
      </c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9" ht="15.75" customHeight="1" x14ac:dyDescent="0.25">
      <c r="B21" s="13"/>
      <c r="C21" s="14" t="s">
        <v>41</v>
      </c>
      <c r="D21" s="14">
        <f t="shared" ref="D21:F21" si="7">SUM(D18:D20)</f>
        <v>300</v>
      </c>
      <c r="E21" s="37">
        <f t="shared" si="7"/>
        <v>0</v>
      </c>
      <c r="F21" s="16">
        <f t="shared" si="7"/>
        <v>300</v>
      </c>
      <c r="H21" s="31">
        <v>6</v>
      </c>
      <c r="I21" s="2" t="s">
        <v>51</v>
      </c>
      <c r="J21" s="9">
        <v>1085</v>
      </c>
      <c r="K21" s="2"/>
      <c r="L21" s="2"/>
      <c r="P21" s="1" t="s">
        <v>165</v>
      </c>
      <c r="Q21" s="1"/>
      <c r="R21" s="1"/>
      <c r="S21" s="1"/>
    </row>
    <row r="22" spans="2:19" ht="15.75" customHeight="1" x14ac:dyDescent="0.25">
      <c r="H22" s="31">
        <v>13</v>
      </c>
      <c r="I22" s="2" t="s">
        <v>52</v>
      </c>
      <c r="J22" s="9">
        <v>200</v>
      </c>
      <c r="K22" s="2"/>
      <c r="L22" s="2"/>
      <c r="S22" s="1"/>
    </row>
    <row r="23" spans="2:19" ht="15.75" customHeight="1" x14ac:dyDescent="0.25">
      <c r="B23" s="98" t="s">
        <v>53</v>
      </c>
      <c r="C23" s="96"/>
      <c r="D23" s="96"/>
      <c r="E23" s="96"/>
      <c r="F23" s="97"/>
      <c r="H23" s="31">
        <v>14</v>
      </c>
      <c r="I23" s="2" t="s">
        <v>54</v>
      </c>
      <c r="J23" s="9">
        <v>150</v>
      </c>
      <c r="K23" s="2"/>
      <c r="L23" s="2"/>
    </row>
    <row r="24" spans="2:19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>
        <v>0</v>
      </c>
      <c r="K24" s="2"/>
      <c r="L24" s="2"/>
    </row>
    <row r="25" spans="2:19" ht="15.75" customHeight="1" x14ac:dyDescent="0.25">
      <c r="B25" s="8">
        <v>8</v>
      </c>
      <c r="C25" s="9" t="s">
        <v>56</v>
      </c>
      <c r="D25" s="9">
        <v>50</v>
      </c>
      <c r="E25" s="21">
        <f>D25-F25</f>
        <v>0</v>
      </c>
      <c r="F25" s="5">
        <f>10+10+15+15</f>
        <v>50</v>
      </c>
      <c r="H25" s="9"/>
      <c r="I25" s="2" t="s">
        <v>144</v>
      </c>
      <c r="J25" s="9">
        <v>0</v>
      </c>
      <c r="K25" s="2"/>
      <c r="L25" s="2"/>
    </row>
    <row r="26" spans="2:19" ht="15.75" customHeight="1" x14ac:dyDescent="0.25">
      <c r="B26" s="19"/>
      <c r="C26" s="9" t="s">
        <v>152</v>
      </c>
      <c r="D26" s="9"/>
      <c r="E26" s="21"/>
      <c r="F26" s="5"/>
      <c r="H26" s="31">
        <v>21</v>
      </c>
      <c r="I26" s="2" t="s">
        <v>59</v>
      </c>
      <c r="J26" s="9">
        <v>300</v>
      </c>
      <c r="K26" s="2"/>
      <c r="L26" s="2"/>
    </row>
    <row r="27" spans="2:19" ht="15.75" customHeight="1" x14ac:dyDescent="0.25">
      <c r="B27" s="19"/>
      <c r="C27" s="9" t="s">
        <v>109</v>
      </c>
      <c r="D27" s="9"/>
      <c r="E27" s="21"/>
      <c r="F27" s="5"/>
      <c r="H27" s="31">
        <v>25</v>
      </c>
      <c r="I27" s="2" t="s">
        <v>61</v>
      </c>
      <c r="J27" s="9">
        <v>300</v>
      </c>
      <c r="K27" s="2"/>
      <c r="L27" s="2"/>
    </row>
    <row r="28" spans="2:19" ht="15.75" customHeight="1" x14ac:dyDescent="0.25">
      <c r="B28" s="22">
        <v>23</v>
      </c>
      <c r="C28" s="9" t="s">
        <v>62</v>
      </c>
      <c r="D28" s="1">
        <v>134</v>
      </c>
      <c r="E28" s="1">
        <v>0</v>
      </c>
      <c r="F28" s="23">
        <v>134</v>
      </c>
      <c r="H28" s="1"/>
      <c r="I28" s="2" t="s">
        <v>145</v>
      </c>
      <c r="J28" s="9">
        <v>0</v>
      </c>
      <c r="K28" s="2"/>
      <c r="L28" s="1"/>
    </row>
    <row r="29" spans="2:19" ht="15.75" customHeight="1" x14ac:dyDescent="0.25">
      <c r="B29" s="19"/>
      <c r="C29" s="9"/>
      <c r="D29" s="9"/>
      <c r="E29" s="36"/>
      <c r="F29" s="5"/>
      <c r="H29" s="33"/>
      <c r="I29" s="34" t="s">
        <v>41</v>
      </c>
      <c r="J29" s="34">
        <f>SUM(J21:J28)</f>
        <v>2035</v>
      </c>
      <c r="K29" s="34">
        <f t="shared" ref="K29:L29" si="8">SUM(K21:K27)</f>
        <v>0</v>
      </c>
      <c r="L29" s="35">
        <f t="shared" si="8"/>
        <v>0</v>
      </c>
    </row>
    <row r="30" spans="2:19" ht="15.75" customHeight="1" x14ac:dyDescent="0.25">
      <c r="B30" s="17"/>
      <c r="C30" s="1"/>
      <c r="D30" s="1"/>
      <c r="E30" s="1"/>
      <c r="F30" s="23"/>
    </row>
    <row r="31" spans="2:19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9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31">
        <v>22</v>
      </c>
      <c r="I33" s="2" t="s">
        <v>69</v>
      </c>
      <c r="J33" s="9">
        <v>90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>
        <v>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E35" si="9">SUM(D25:D34)</f>
        <v>184</v>
      </c>
      <c r="E35" s="26">
        <f t="shared" si="9"/>
        <v>0</v>
      </c>
      <c r="F35" s="27">
        <f>SUM(F25:F27)</f>
        <v>50</v>
      </c>
      <c r="H35" s="31">
        <v>20</v>
      </c>
      <c r="I35" s="2" t="s">
        <v>121</v>
      </c>
      <c r="J35" s="9">
        <v>50</v>
      </c>
      <c r="K35" s="2"/>
      <c r="L35" s="2"/>
    </row>
    <row r="36" spans="2:12" ht="15.75" customHeight="1" x14ac:dyDescent="0.25">
      <c r="H36" s="31">
        <v>24</v>
      </c>
      <c r="I36" s="2" t="s">
        <v>155</v>
      </c>
      <c r="J36" s="9">
        <v>300</v>
      </c>
      <c r="K36" s="2"/>
      <c r="L36" s="2"/>
    </row>
    <row r="37" spans="2:12" ht="15.75" customHeight="1" x14ac:dyDescent="0.25">
      <c r="C37" s="1" t="s">
        <v>87</v>
      </c>
      <c r="E37" s="28">
        <f>E14+E21+E35</f>
        <v>1.4900000000000091</v>
      </c>
      <c r="H37" s="9"/>
      <c r="I37" s="2" t="s">
        <v>166</v>
      </c>
      <c r="J37" s="9">
        <v>0</v>
      </c>
      <c r="K37" s="2"/>
      <c r="L37" s="2"/>
    </row>
    <row r="38" spans="2:12" ht="15.75" customHeight="1" x14ac:dyDescent="0.25">
      <c r="C38" s="1" t="s">
        <v>99</v>
      </c>
      <c r="E38" s="1"/>
      <c r="F38" s="1"/>
      <c r="H38" s="31">
        <v>26</v>
      </c>
      <c r="I38" s="2" t="s">
        <v>140</v>
      </c>
      <c r="J38" s="9">
        <v>70</v>
      </c>
      <c r="K38" s="2"/>
      <c r="L38" s="2"/>
    </row>
    <row r="39" spans="2:12" ht="15.75" customHeight="1" x14ac:dyDescent="0.25">
      <c r="C39" s="1" t="s">
        <v>79</v>
      </c>
      <c r="E39" s="28">
        <f>E37+E38</f>
        <v>1.4900000000000091</v>
      </c>
      <c r="H39" s="9"/>
      <c r="I39" s="2"/>
      <c r="J39" s="9"/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510</v>
      </c>
      <c r="K41" s="34">
        <f t="shared" ref="K41:L41" si="10">SUM(K33:K39)</f>
        <v>0</v>
      </c>
      <c r="L41" s="35">
        <f t="shared" si="10"/>
        <v>0</v>
      </c>
    </row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14" priority="1" operator="lessThan">
      <formula>0</formula>
    </cfRule>
    <cfRule type="cellIs" dxfId="13" priority="2" operator="greaterThan">
      <formula>0</formula>
    </cfRule>
    <cfRule type="cellIs" dxfId="12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</cols>
  <sheetData>
    <row r="1" spans="2:20" ht="6.75" customHeight="1" x14ac:dyDescent="0.25"/>
    <row r="2" spans="2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2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5050</v>
      </c>
      <c r="P3" s="2">
        <f t="shared" ref="P3:P5" si="0">Q3+R3+S3</f>
        <v>4609</v>
      </c>
      <c r="Q3" s="2">
        <f>D14</f>
        <v>3631</v>
      </c>
      <c r="R3" s="2">
        <f>D21</f>
        <v>750</v>
      </c>
      <c r="S3" s="2">
        <f>D35</f>
        <v>228</v>
      </c>
      <c r="T3" s="7">
        <f t="shared" ref="T3:T4" si="1">O3-P3</f>
        <v>441</v>
      </c>
    </row>
    <row r="4" spans="2:20" x14ac:dyDescent="0.25">
      <c r="B4" s="19">
        <v>2</v>
      </c>
      <c r="C4" s="9" t="s">
        <v>15</v>
      </c>
      <c r="D4" s="9">
        <v>85</v>
      </c>
      <c r="E4" s="21">
        <f t="shared" ref="E4:E13" si="2">D4-F4</f>
        <v>0</v>
      </c>
      <c r="F4" s="5">
        <v>85</v>
      </c>
      <c r="G4" s="2"/>
      <c r="H4" s="9">
        <v>1</v>
      </c>
      <c r="I4" s="9" t="s">
        <v>16</v>
      </c>
      <c r="J4" s="9">
        <v>3102</v>
      </c>
      <c r="K4" s="2"/>
      <c r="L4" s="2"/>
      <c r="N4" s="2" t="s">
        <v>17</v>
      </c>
      <c r="O4" s="11">
        <v>9218</v>
      </c>
      <c r="P4" s="2">
        <f t="shared" si="0"/>
        <v>9659</v>
      </c>
      <c r="Q4" s="2">
        <f>J17</f>
        <v>5877</v>
      </c>
      <c r="R4" s="2">
        <f>J29</f>
        <v>2529</v>
      </c>
      <c r="S4" s="2">
        <f>J41</f>
        <v>1253</v>
      </c>
      <c r="T4" s="7">
        <f t="shared" si="1"/>
        <v>-441</v>
      </c>
    </row>
    <row r="5" spans="2:20" x14ac:dyDescent="0.25">
      <c r="B5" s="19">
        <v>4</v>
      </c>
      <c r="C5" s="9" t="s">
        <v>18</v>
      </c>
      <c r="D5" s="9">
        <v>40</v>
      </c>
      <c r="E5" s="21">
        <f t="shared" si="2"/>
        <v>0</v>
      </c>
      <c r="F5" s="5">
        <v>40</v>
      </c>
      <c r="G5" s="2"/>
      <c r="H5" s="9">
        <v>3</v>
      </c>
      <c r="I5" s="9" t="s">
        <v>19</v>
      </c>
      <c r="J5" s="9">
        <v>130</v>
      </c>
      <c r="K5" s="2"/>
      <c r="L5" s="2"/>
      <c r="N5" s="2" t="s">
        <v>5</v>
      </c>
      <c r="O5" s="2" t="b">
        <f>E27=O3+O4</f>
        <v>0</v>
      </c>
      <c r="P5" s="2">
        <f t="shared" si="0"/>
        <v>14268</v>
      </c>
      <c r="Q5" s="2">
        <f t="shared" ref="Q5:S5" si="3">Q3+Q4</f>
        <v>9508</v>
      </c>
      <c r="R5" s="2">
        <f t="shared" si="3"/>
        <v>3279</v>
      </c>
      <c r="S5" s="2">
        <f t="shared" si="3"/>
        <v>1481</v>
      </c>
      <c r="T5" s="12"/>
    </row>
    <row r="6" spans="2:20" x14ac:dyDescent="0.25">
      <c r="B6" s="19">
        <v>5</v>
      </c>
      <c r="C6" s="9" t="s">
        <v>20</v>
      </c>
      <c r="D6" s="9">
        <v>700</v>
      </c>
      <c r="E6" s="21">
        <f t="shared" si="2"/>
        <v>0</v>
      </c>
      <c r="F6" s="5">
        <f>150+125+335+90</f>
        <v>700</v>
      </c>
      <c r="G6" s="2"/>
      <c r="H6" s="9">
        <v>7</v>
      </c>
      <c r="I6" s="9" t="s">
        <v>21</v>
      </c>
      <c r="J6" s="9">
        <v>802</v>
      </c>
      <c r="K6" s="2"/>
      <c r="L6" s="2"/>
    </row>
    <row r="7" spans="2:20" x14ac:dyDescent="0.25">
      <c r="B7" s="19">
        <v>6</v>
      </c>
      <c r="C7" s="9" t="s">
        <v>21</v>
      </c>
      <c r="D7" s="9">
        <v>800</v>
      </c>
      <c r="E7" s="21">
        <f t="shared" si="2"/>
        <v>0</v>
      </c>
      <c r="F7" s="5">
        <f>26.92+145.85+50.82+50+77.3+3.45+6.6+12.52+28.22+23.19+30.6+14.86+80.27+126+34.22+1.51+44.78+43-0.11</f>
        <v>800</v>
      </c>
      <c r="G7" s="2"/>
      <c r="H7" s="9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2:20" x14ac:dyDescent="0.25">
      <c r="B8" s="19">
        <v>8</v>
      </c>
      <c r="C8" s="9" t="s">
        <v>149</v>
      </c>
      <c r="D8" s="9">
        <v>56</v>
      </c>
      <c r="E8" s="21">
        <f t="shared" si="2"/>
        <v>0</v>
      </c>
      <c r="F8" s="5">
        <v>56</v>
      </c>
      <c r="G8" s="2"/>
      <c r="H8" s="9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</f>
        <v>4491</v>
      </c>
      <c r="Q8" s="1" t="s">
        <v>83</v>
      </c>
    </row>
    <row r="9" spans="2:20" x14ac:dyDescent="0.25">
      <c r="B9" s="19">
        <v>12</v>
      </c>
      <c r="C9" s="9" t="s">
        <v>29</v>
      </c>
      <c r="D9" s="9">
        <v>100</v>
      </c>
      <c r="E9" s="21">
        <f t="shared" si="2"/>
        <v>0</v>
      </c>
      <c r="F9" s="5">
        <f>10+30+8+28+20+4</f>
        <v>100</v>
      </c>
      <c r="G9" s="2"/>
      <c r="H9" s="9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1670</v>
      </c>
      <c r="Q9" s="1" t="s">
        <v>86</v>
      </c>
    </row>
    <row r="10" spans="2:20" x14ac:dyDescent="0.25">
      <c r="B10" s="19">
        <v>15</v>
      </c>
      <c r="C10" s="9" t="s">
        <v>33</v>
      </c>
      <c r="D10" s="9">
        <v>300</v>
      </c>
      <c r="E10" s="21">
        <f t="shared" si="2"/>
        <v>0</v>
      </c>
      <c r="F10" s="5">
        <v>300</v>
      </c>
      <c r="G10" s="2"/>
      <c r="H10" s="9">
        <v>13</v>
      </c>
      <c r="I10" s="9" t="s">
        <v>34</v>
      </c>
      <c r="J10" s="9">
        <v>50</v>
      </c>
      <c r="K10" s="2"/>
      <c r="L10" s="2"/>
      <c r="P10" s="1">
        <f>P8+P9</f>
        <v>6161</v>
      </c>
    </row>
    <row r="11" spans="2:20" x14ac:dyDescent="0.25">
      <c r="B11" s="19">
        <v>17</v>
      </c>
      <c r="C11" s="9" t="s">
        <v>36</v>
      </c>
      <c r="D11" s="9">
        <v>50</v>
      </c>
      <c r="E11" s="21">
        <f t="shared" si="2"/>
        <v>15</v>
      </c>
      <c r="F11" s="5">
        <v>35</v>
      </c>
      <c r="G11" s="2"/>
      <c r="H11" s="9">
        <v>14</v>
      </c>
      <c r="I11" s="9" t="s">
        <v>37</v>
      </c>
      <c r="J11" s="9">
        <v>100</v>
      </c>
      <c r="K11" s="2"/>
      <c r="L11" s="2"/>
    </row>
    <row r="12" spans="2:20" x14ac:dyDescent="0.25">
      <c r="B12" s="19">
        <v>21</v>
      </c>
      <c r="C12" s="9" t="s">
        <v>38</v>
      </c>
      <c r="D12" s="9">
        <v>1000</v>
      </c>
      <c r="E12" s="21">
        <f t="shared" si="2"/>
        <v>0</v>
      </c>
      <c r="F12" s="5">
        <v>1000</v>
      </c>
      <c r="G12" s="2"/>
      <c r="H12" s="9">
        <v>16</v>
      </c>
      <c r="I12" s="9" t="s">
        <v>39</v>
      </c>
      <c r="J12" s="9">
        <v>100</v>
      </c>
      <c r="K12" s="2"/>
      <c r="L12" s="2"/>
    </row>
    <row r="13" spans="2:20" x14ac:dyDescent="0.25">
      <c r="B13" s="19">
        <v>22</v>
      </c>
      <c r="C13" s="9" t="s">
        <v>40</v>
      </c>
      <c r="D13" s="9">
        <v>500</v>
      </c>
      <c r="E13" s="21">
        <f t="shared" si="2"/>
        <v>0</v>
      </c>
      <c r="F13" s="5">
        <f>300+200</f>
        <v>500</v>
      </c>
      <c r="G13" s="2"/>
      <c r="H13" s="9">
        <v>18</v>
      </c>
      <c r="I13" s="9" t="s">
        <v>36</v>
      </c>
      <c r="J13" s="9">
        <v>50</v>
      </c>
      <c r="K13" s="2"/>
      <c r="L13" s="2"/>
    </row>
    <row r="14" spans="2:20" x14ac:dyDescent="0.25">
      <c r="B14" s="13"/>
      <c r="C14" s="14" t="s">
        <v>41</v>
      </c>
      <c r="D14" s="14">
        <f t="shared" ref="D14:F14" si="4">SUM(D4:D13)</f>
        <v>3631</v>
      </c>
      <c r="E14" s="40">
        <f t="shared" si="4"/>
        <v>15</v>
      </c>
      <c r="F14" s="16">
        <f t="shared" si="4"/>
        <v>3616</v>
      </c>
      <c r="G14" s="2"/>
      <c r="H14" s="9">
        <v>19</v>
      </c>
      <c r="I14" s="9" t="s">
        <v>42</v>
      </c>
      <c r="J14" s="9">
        <v>350</v>
      </c>
      <c r="K14" s="2"/>
      <c r="L14" s="2"/>
    </row>
    <row r="15" spans="2:20" x14ac:dyDescent="0.25">
      <c r="G15" s="2"/>
      <c r="H15" s="9">
        <v>20</v>
      </c>
      <c r="I15" s="9" t="s">
        <v>44</v>
      </c>
      <c r="J15" s="9">
        <v>50</v>
      </c>
      <c r="K15" s="2"/>
      <c r="L15" s="2"/>
    </row>
    <row r="16" spans="2:20" x14ac:dyDescent="0.25">
      <c r="B16" s="98" t="s">
        <v>45</v>
      </c>
      <c r="C16" s="96"/>
      <c r="D16" s="96"/>
      <c r="E16" s="96"/>
      <c r="F16" s="97"/>
      <c r="G16" s="2"/>
      <c r="H16" s="9">
        <v>23</v>
      </c>
      <c r="I16" s="9" t="s">
        <v>46</v>
      </c>
      <c r="J16" s="9">
        <v>650</v>
      </c>
      <c r="K16" s="2"/>
      <c r="L16" s="2"/>
    </row>
    <row r="17" spans="2:12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5">SUM(J4:J16)</f>
        <v>5877</v>
      </c>
      <c r="K17" s="14">
        <f t="shared" si="5"/>
        <v>0</v>
      </c>
      <c r="L17" s="16">
        <f t="shared" si="5"/>
        <v>0</v>
      </c>
    </row>
    <row r="18" spans="2:12" x14ac:dyDescent="0.25">
      <c r="B18" s="19"/>
      <c r="C18" s="9" t="s">
        <v>24</v>
      </c>
      <c r="D18" s="9">
        <v>300</v>
      </c>
      <c r="E18" s="36">
        <f t="shared" ref="E18:E20" si="6">D18-F18</f>
        <v>0</v>
      </c>
      <c r="F18" s="5">
        <v>300</v>
      </c>
    </row>
    <row r="19" spans="2:12" x14ac:dyDescent="0.25">
      <c r="B19" s="19"/>
      <c r="C19" s="9" t="s">
        <v>48</v>
      </c>
      <c r="D19" s="9">
        <v>450</v>
      </c>
      <c r="E19" s="36">
        <f t="shared" si="6"/>
        <v>318</v>
      </c>
      <c r="F19" s="5">
        <f>85+47</f>
        <v>132</v>
      </c>
      <c r="H19" s="95" t="s">
        <v>49</v>
      </c>
      <c r="I19" s="96"/>
      <c r="J19" s="96"/>
      <c r="K19" s="96"/>
      <c r="L19" s="97"/>
    </row>
    <row r="20" spans="2:12" x14ac:dyDescent="0.25">
      <c r="B20" s="19"/>
      <c r="C20" s="9" t="s">
        <v>50</v>
      </c>
      <c r="D20" s="9"/>
      <c r="E20" s="36">
        <f t="shared" si="6"/>
        <v>0</v>
      </c>
      <c r="F20" s="5">
        <v>0</v>
      </c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2" ht="15.75" customHeight="1" x14ac:dyDescent="0.25">
      <c r="B21" s="13"/>
      <c r="C21" s="14" t="s">
        <v>41</v>
      </c>
      <c r="D21" s="14">
        <f t="shared" ref="D21:F21" si="7">SUM(D18:D20)</f>
        <v>750</v>
      </c>
      <c r="E21" s="37">
        <f t="shared" si="7"/>
        <v>318</v>
      </c>
      <c r="F21" s="16">
        <f t="shared" si="7"/>
        <v>432</v>
      </c>
      <c r="H21" s="9"/>
      <c r="I21" s="2" t="s">
        <v>51</v>
      </c>
      <c r="J21" s="9">
        <v>1071</v>
      </c>
      <c r="K21" s="2"/>
      <c r="L21" s="2"/>
    </row>
    <row r="22" spans="2:12" ht="15.75" customHeight="1" x14ac:dyDescent="0.25">
      <c r="H22" s="9"/>
      <c r="I22" s="2" t="s">
        <v>52</v>
      </c>
      <c r="J22" s="9">
        <v>200</v>
      </c>
      <c r="K22" s="2"/>
      <c r="L22" s="2"/>
    </row>
    <row r="23" spans="2:12" ht="15.75" customHeight="1" x14ac:dyDescent="0.25">
      <c r="B23" s="98" t="s">
        <v>53</v>
      </c>
      <c r="C23" s="96"/>
      <c r="D23" s="96"/>
      <c r="E23" s="96"/>
      <c r="F23" s="97"/>
      <c r="H23" s="9"/>
      <c r="I23" s="2" t="s">
        <v>54</v>
      </c>
      <c r="J23" s="9">
        <v>100</v>
      </c>
      <c r="K23" s="2"/>
      <c r="L23" s="2"/>
    </row>
    <row r="24" spans="2:12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>
        <v>0</v>
      </c>
      <c r="K24" s="2"/>
      <c r="L24" s="2"/>
    </row>
    <row r="25" spans="2:12" ht="15.75" customHeight="1" x14ac:dyDescent="0.25">
      <c r="B25" s="19"/>
      <c r="C25" s="9" t="s">
        <v>56</v>
      </c>
      <c r="D25" s="9">
        <v>50</v>
      </c>
      <c r="E25" s="21">
        <f t="shared" ref="E25:E26" si="8">D25-F25</f>
        <v>0</v>
      </c>
      <c r="F25" s="5">
        <f>11+20+19</f>
        <v>50</v>
      </c>
      <c r="H25" s="9"/>
      <c r="I25" s="2" t="s">
        <v>144</v>
      </c>
      <c r="J25" s="9">
        <v>500</v>
      </c>
      <c r="K25" s="2"/>
      <c r="L25" s="2"/>
    </row>
    <row r="26" spans="2:12" ht="15.75" customHeight="1" x14ac:dyDescent="0.25">
      <c r="B26" s="19"/>
      <c r="C26" s="9" t="s">
        <v>152</v>
      </c>
      <c r="D26" s="9">
        <v>78</v>
      </c>
      <c r="E26" s="21">
        <f t="shared" si="8"/>
        <v>0</v>
      </c>
      <c r="F26" s="5">
        <v>78</v>
      </c>
      <c r="H26" s="9"/>
      <c r="I26" s="2" t="s">
        <v>59</v>
      </c>
      <c r="J26" s="9">
        <v>298</v>
      </c>
      <c r="K26" s="2"/>
      <c r="L26" s="2"/>
    </row>
    <row r="27" spans="2:12" ht="15.75" customHeight="1" x14ac:dyDescent="0.25">
      <c r="B27" s="19"/>
      <c r="C27" s="9" t="s">
        <v>109</v>
      </c>
      <c r="D27" s="9">
        <v>100</v>
      </c>
      <c r="E27" s="21">
        <f>'Styczeń25 - wydatki'!$D27-'Styczeń25 - wydatki'!$F27</f>
        <v>0</v>
      </c>
      <c r="F27" s="5">
        <v>100</v>
      </c>
      <c r="H27" s="9"/>
      <c r="I27" s="2" t="s">
        <v>61</v>
      </c>
      <c r="J27" s="9">
        <v>360</v>
      </c>
      <c r="K27" s="2"/>
      <c r="L27" s="2"/>
    </row>
    <row r="28" spans="2:12" ht="15.75" customHeight="1" x14ac:dyDescent="0.25">
      <c r="B28" s="17"/>
      <c r="C28" s="1"/>
      <c r="D28" s="1"/>
      <c r="E28" s="1"/>
      <c r="F28" s="23"/>
      <c r="H28" s="1"/>
      <c r="I28" s="2" t="s">
        <v>145</v>
      </c>
      <c r="J28" s="9">
        <v>0</v>
      </c>
      <c r="K28" s="2"/>
      <c r="L28" s="1"/>
    </row>
    <row r="29" spans="2:12" ht="15.75" customHeight="1" x14ac:dyDescent="0.25">
      <c r="B29" s="19"/>
      <c r="C29" s="9"/>
      <c r="D29" s="9"/>
      <c r="E29" s="36"/>
      <c r="F29" s="5"/>
      <c r="H29" s="33"/>
      <c r="I29" s="34" t="s">
        <v>41</v>
      </c>
      <c r="J29" s="34">
        <f>SUM(J21:J28)</f>
        <v>2529</v>
      </c>
      <c r="K29" s="34">
        <f t="shared" ref="K29:L29" si="9">SUM(K21:K27)</f>
        <v>0</v>
      </c>
      <c r="L29" s="35">
        <f t="shared" si="9"/>
        <v>0</v>
      </c>
    </row>
    <row r="30" spans="2:12" ht="15.75" customHeight="1" x14ac:dyDescent="0.25">
      <c r="B30" s="17"/>
      <c r="C30" s="1"/>
      <c r="D30" s="1"/>
      <c r="E30" s="1"/>
      <c r="F30" s="23"/>
    </row>
    <row r="31" spans="2:12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2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9"/>
      <c r="I33" s="2" t="s">
        <v>69</v>
      </c>
      <c r="J33" s="9">
        <v>0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 t="s">
        <v>154</v>
      </c>
      <c r="J34" s="9">
        <v>150</v>
      </c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10">SUM(D25:D27)</f>
        <v>228</v>
      </c>
      <c r="E35" s="26">
        <f t="shared" si="10"/>
        <v>0</v>
      </c>
      <c r="F35" s="27">
        <f t="shared" si="10"/>
        <v>228</v>
      </c>
      <c r="H35" s="9"/>
      <c r="I35" s="2" t="s">
        <v>121</v>
      </c>
      <c r="J35" s="9">
        <v>50</v>
      </c>
      <c r="K35" s="2"/>
      <c r="L35" s="2"/>
    </row>
    <row r="36" spans="2:12" ht="15.75" customHeight="1" x14ac:dyDescent="0.25">
      <c r="H36" s="9"/>
      <c r="I36" s="2" t="s">
        <v>155</v>
      </c>
      <c r="J36" s="9">
        <v>900</v>
      </c>
      <c r="K36" s="2"/>
      <c r="L36" s="2"/>
    </row>
    <row r="37" spans="2:12" ht="15.75" customHeight="1" x14ac:dyDescent="0.25">
      <c r="C37" s="1" t="s">
        <v>87</v>
      </c>
      <c r="D37" s="28">
        <f t="shared" ref="D37:E37" si="11">D14+D21+D35</f>
        <v>4609</v>
      </c>
      <c r="E37" s="28">
        <f t="shared" si="11"/>
        <v>333</v>
      </c>
      <c r="H37" s="9"/>
      <c r="I37" s="2" t="s">
        <v>166</v>
      </c>
      <c r="J37" s="9">
        <v>153</v>
      </c>
      <c r="K37" s="2"/>
      <c r="L37" s="2"/>
    </row>
    <row r="38" spans="2:12" ht="15.75" customHeight="1" x14ac:dyDescent="0.25">
      <c r="C38" s="1" t="s">
        <v>99</v>
      </c>
      <c r="E38" s="1">
        <v>0</v>
      </c>
      <c r="F38" s="1"/>
      <c r="H38" s="9"/>
      <c r="I38" s="2"/>
      <c r="J38" s="9"/>
      <c r="K38" s="2"/>
      <c r="L38" s="2"/>
    </row>
    <row r="39" spans="2:12" ht="15.75" customHeight="1" x14ac:dyDescent="0.25">
      <c r="C39" s="1" t="s">
        <v>79</v>
      </c>
      <c r="E39" s="28">
        <f>E37+E38</f>
        <v>333</v>
      </c>
      <c r="H39" s="9"/>
      <c r="I39" s="2"/>
      <c r="J39" s="9"/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1253</v>
      </c>
      <c r="K41" s="34">
        <f t="shared" ref="K41:L41" si="12">SUM(K33:K39)</f>
        <v>0</v>
      </c>
      <c r="L41" s="35">
        <f t="shared" si="12"/>
        <v>0</v>
      </c>
    </row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11" priority="1" operator="lessThan">
      <formula>0</formula>
    </cfRule>
    <cfRule type="cellIs" dxfId="10" priority="2" operator="greaterThan">
      <formula>0</formula>
    </cfRule>
    <cfRule type="cellIs" dxfId="9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4" width="8.7109375" customWidth="1"/>
    <col min="5" max="5" width="10.85546875" customWidth="1"/>
    <col min="6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  <col min="21" max="26" width="8.7109375" customWidth="1"/>
  </cols>
  <sheetData>
    <row r="1" spans="2:20" ht="6.75" customHeight="1" x14ac:dyDescent="0.25"/>
    <row r="2" spans="2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2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>
        <v>5300</v>
      </c>
      <c r="P3" s="2">
        <f t="shared" ref="P3:P5" si="0">Q3+R3+S3</f>
        <v>5001</v>
      </c>
      <c r="Q3" s="2">
        <f>D14</f>
        <v>3731</v>
      </c>
      <c r="R3" s="2">
        <f>D21</f>
        <v>950</v>
      </c>
      <c r="S3" s="2">
        <f>D35</f>
        <v>320</v>
      </c>
      <c r="T3" s="7">
        <f t="shared" ref="T3:T4" si="1">O3-P3</f>
        <v>299</v>
      </c>
    </row>
    <row r="4" spans="2:20" x14ac:dyDescent="0.25">
      <c r="B4" s="19">
        <v>2</v>
      </c>
      <c r="C4" s="9" t="s">
        <v>15</v>
      </c>
      <c r="D4" s="9">
        <v>85</v>
      </c>
      <c r="E4" s="21">
        <f t="shared" ref="E4:E13" si="2">D4-F4</f>
        <v>0</v>
      </c>
      <c r="F4" s="5">
        <f>60+25</f>
        <v>85</v>
      </c>
      <c r="G4" s="2"/>
      <c r="H4" s="9">
        <v>1</v>
      </c>
      <c r="I4" s="9" t="s">
        <v>16</v>
      </c>
      <c r="J4" s="9">
        <v>3102</v>
      </c>
      <c r="K4" s="2"/>
      <c r="L4" s="2"/>
      <c r="N4" s="2" t="s">
        <v>17</v>
      </c>
      <c r="O4" s="11">
        <v>8907</v>
      </c>
      <c r="P4" s="2">
        <f t="shared" si="0"/>
        <v>9205</v>
      </c>
      <c r="Q4" s="2">
        <f>J17</f>
        <v>5925</v>
      </c>
      <c r="R4" s="2">
        <f>J29</f>
        <v>3280</v>
      </c>
      <c r="S4" s="2">
        <f>J41</f>
        <v>0</v>
      </c>
      <c r="T4" s="7">
        <f t="shared" si="1"/>
        <v>-298</v>
      </c>
    </row>
    <row r="5" spans="2:20" x14ac:dyDescent="0.25">
      <c r="B5" s="19">
        <v>4</v>
      </c>
      <c r="C5" s="9" t="s">
        <v>18</v>
      </c>
      <c r="D5" s="9">
        <v>40</v>
      </c>
      <c r="E5" s="21">
        <f t="shared" si="2"/>
        <v>0</v>
      </c>
      <c r="F5" s="5">
        <v>40</v>
      </c>
      <c r="G5" s="2"/>
      <c r="H5" s="9">
        <v>3</v>
      </c>
      <c r="I5" s="9" t="s">
        <v>19</v>
      </c>
      <c r="J5" s="9">
        <v>130</v>
      </c>
      <c r="K5" s="2"/>
      <c r="L5" s="2"/>
      <c r="N5" s="2" t="s">
        <v>5</v>
      </c>
      <c r="O5" s="2">
        <f>O3+O4</f>
        <v>14207</v>
      </c>
      <c r="P5" s="2">
        <f t="shared" si="0"/>
        <v>14206</v>
      </c>
      <c r="Q5" s="2">
        <f t="shared" ref="Q5:S5" si="3">Q3+Q4</f>
        <v>9656</v>
      </c>
      <c r="R5" s="2">
        <f t="shared" si="3"/>
        <v>4230</v>
      </c>
      <c r="S5" s="2">
        <f t="shared" si="3"/>
        <v>320</v>
      </c>
      <c r="T5" s="12"/>
    </row>
    <row r="6" spans="2:20" x14ac:dyDescent="0.25">
      <c r="B6" s="19">
        <v>5</v>
      </c>
      <c r="C6" s="9" t="s">
        <v>20</v>
      </c>
      <c r="D6" s="9">
        <v>800</v>
      </c>
      <c r="E6" s="21">
        <f t="shared" si="2"/>
        <v>0</v>
      </c>
      <c r="F6" s="5">
        <f>340+105+120+235</f>
        <v>800</v>
      </c>
      <c r="G6" s="2"/>
      <c r="H6" s="9">
        <v>7</v>
      </c>
      <c r="I6" s="9" t="s">
        <v>21</v>
      </c>
      <c r="J6" s="9">
        <v>800</v>
      </c>
      <c r="K6" s="2"/>
      <c r="L6" s="2"/>
    </row>
    <row r="7" spans="2:20" x14ac:dyDescent="0.25">
      <c r="B7" s="19">
        <v>6</v>
      </c>
      <c r="C7" s="9" t="s">
        <v>21</v>
      </c>
      <c r="D7" s="9">
        <v>800</v>
      </c>
      <c r="E7" s="21">
        <f t="shared" si="2"/>
        <v>-7.0000000000163709E-2</v>
      </c>
      <c r="F7" s="5">
        <f>107+5.98+18.11+29.6+21.86+26+11.51+3.32+16.68+54.1+18.23+4.99+38.39+6.78+8.58+27.76+93.87+44.85+10.5+10.32+41.61+13.72+105+40.11+35.49+16.39+26.95+19.4+20.97-78</f>
        <v>800.07000000000016</v>
      </c>
      <c r="G7" s="2"/>
      <c r="H7" s="9">
        <v>9</v>
      </c>
      <c r="I7" s="9" t="s">
        <v>22</v>
      </c>
      <c r="J7" s="9">
        <v>128</v>
      </c>
      <c r="K7" s="2"/>
      <c r="L7" s="2"/>
      <c r="N7" s="1" t="s">
        <v>23</v>
      </c>
    </row>
    <row r="8" spans="2:20" x14ac:dyDescent="0.25">
      <c r="B8" s="19">
        <v>8</v>
      </c>
      <c r="C8" s="9" t="s">
        <v>149</v>
      </c>
      <c r="D8" s="9">
        <v>56</v>
      </c>
      <c r="E8" s="21">
        <f t="shared" si="2"/>
        <v>0</v>
      </c>
      <c r="F8" s="5">
        <v>56</v>
      </c>
      <c r="G8" s="2"/>
      <c r="H8" s="9">
        <v>10</v>
      </c>
      <c r="I8" s="9" t="s">
        <v>25</v>
      </c>
      <c r="J8" s="9">
        <v>65</v>
      </c>
      <c r="K8" s="2"/>
      <c r="L8" s="2"/>
      <c r="N8" s="1" t="s">
        <v>26</v>
      </c>
      <c r="O8" s="1" t="s">
        <v>27</v>
      </c>
      <c r="P8" s="1">
        <f>4230+261</f>
        <v>4491</v>
      </c>
      <c r="Q8" s="1" t="s">
        <v>100</v>
      </c>
    </row>
    <row r="9" spans="2:20" x14ac:dyDescent="0.25">
      <c r="B9" s="19">
        <v>12</v>
      </c>
      <c r="C9" s="9" t="s">
        <v>29</v>
      </c>
      <c r="D9" s="9">
        <v>100</v>
      </c>
      <c r="E9" s="21">
        <f t="shared" si="2"/>
        <v>0</v>
      </c>
      <c r="F9" s="5">
        <f>25+26+25+14+10</f>
        <v>100</v>
      </c>
      <c r="G9" s="2"/>
      <c r="H9" s="9">
        <v>11</v>
      </c>
      <c r="I9" s="9" t="s">
        <v>30</v>
      </c>
      <c r="J9" s="9">
        <v>300</v>
      </c>
      <c r="K9" s="2"/>
      <c r="L9" s="2"/>
      <c r="O9" s="1" t="s">
        <v>31</v>
      </c>
      <c r="P9" s="1">
        <v>1000</v>
      </c>
      <c r="Q9" s="1" t="s">
        <v>83</v>
      </c>
    </row>
    <row r="10" spans="2:20" x14ac:dyDescent="0.25">
      <c r="B10" s="19">
        <v>15</v>
      </c>
      <c r="C10" s="9" t="s">
        <v>33</v>
      </c>
      <c r="D10" s="9">
        <v>300</v>
      </c>
      <c r="E10" s="21">
        <f t="shared" si="2"/>
        <v>0</v>
      </c>
      <c r="F10" s="5">
        <v>300</v>
      </c>
      <c r="G10" s="2"/>
      <c r="H10" s="9">
        <v>13</v>
      </c>
      <c r="I10" s="9" t="s">
        <v>34</v>
      </c>
      <c r="J10" s="9">
        <v>50</v>
      </c>
      <c r="K10" s="2"/>
      <c r="L10" s="2"/>
    </row>
    <row r="11" spans="2:20" x14ac:dyDescent="0.25">
      <c r="B11" s="19">
        <v>17</v>
      </c>
      <c r="C11" s="9" t="s">
        <v>36</v>
      </c>
      <c r="D11" s="9">
        <v>50</v>
      </c>
      <c r="E11" s="21">
        <f t="shared" si="2"/>
        <v>0</v>
      </c>
      <c r="F11" s="5">
        <v>50</v>
      </c>
      <c r="G11" s="2"/>
      <c r="H11" s="9">
        <v>14</v>
      </c>
      <c r="I11" s="9" t="s">
        <v>37</v>
      </c>
      <c r="J11" s="9">
        <v>100</v>
      </c>
      <c r="K11" s="2"/>
      <c r="L11" s="2"/>
    </row>
    <row r="12" spans="2:20" x14ac:dyDescent="0.25">
      <c r="B12" s="19">
        <v>21</v>
      </c>
      <c r="C12" s="9" t="s">
        <v>38</v>
      </c>
      <c r="D12" s="9">
        <v>1000</v>
      </c>
      <c r="E12" s="21">
        <f t="shared" si="2"/>
        <v>0</v>
      </c>
      <c r="F12" s="5">
        <v>1000</v>
      </c>
      <c r="G12" s="2"/>
      <c r="H12" s="9">
        <v>16</v>
      </c>
      <c r="I12" s="9" t="s">
        <v>39</v>
      </c>
      <c r="J12" s="9">
        <v>100</v>
      </c>
      <c r="K12" s="2"/>
      <c r="L12" s="2"/>
    </row>
    <row r="13" spans="2:20" x14ac:dyDescent="0.25">
      <c r="B13" s="19">
        <v>22</v>
      </c>
      <c r="C13" s="9" t="s">
        <v>40</v>
      </c>
      <c r="D13" s="9">
        <v>500</v>
      </c>
      <c r="E13" s="21">
        <f t="shared" si="2"/>
        <v>0</v>
      </c>
      <c r="F13" s="5">
        <f>53+240+20+20+55+29+19-27-17+5+103</f>
        <v>500</v>
      </c>
      <c r="G13" s="2"/>
      <c r="H13" s="9">
        <v>18</v>
      </c>
      <c r="I13" s="9" t="s">
        <v>36</v>
      </c>
      <c r="J13" s="9">
        <v>50</v>
      </c>
      <c r="K13" s="2"/>
      <c r="L13" s="2"/>
    </row>
    <row r="14" spans="2:20" x14ac:dyDescent="0.25">
      <c r="B14" s="13"/>
      <c r="C14" s="14" t="s">
        <v>41</v>
      </c>
      <c r="D14" s="14">
        <f t="shared" ref="D14:F14" si="4">SUM(D4:D13)</f>
        <v>3731</v>
      </c>
      <c r="E14" s="40">
        <f t="shared" si="4"/>
        <v>-7.0000000000163709E-2</v>
      </c>
      <c r="F14" s="16">
        <f t="shared" si="4"/>
        <v>3731.07</v>
      </c>
      <c r="G14" s="2"/>
      <c r="H14" s="9">
        <v>19</v>
      </c>
      <c r="I14" s="9" t="s">
        <v>42</v>
      </c>
      <c r="J14" s="9">
        <v>350</v>
      </c>
      <c r="K14" s="2"/>
      <c r="L14" s="2"/>
    </row>
    <row r="15" spans="2:20" x14ac:dyDescent="0.25">
      <c r="G15" s="2"/>
      <c r="H15" s="9">
        <v>20</v>
      </c>
      <c r="I15" s="9" t="s">
        <v>44</v>
      </c>
      <c r="J15" s="9">
        <v>50</v>
      </c>
      <c r="K15" s="2"/>
      <c r="L15" s="2"/>
    </row>
    <row r="16" spans="2:20" x14ac:dyDescent="0.25">
      <c r="B16" s="98" t="s">
        <v>45</v>
      </c>
      <c r="C16" s="96"/>
      <c r="D16" s="96"/>
      <c r="E16" s="96"/>
      <c r="F16" s="97"/>
      <c r="G16" s="2"/>
      <c r="H16" s="9">
        <v>23</v>
      </c>
      <c r="I16" s="9" t="s">
        <v>46</v>
      </c>
      <c r="J16" s="9">
        <v>700</v>
      </c>
      <c r="K16" s="2"/>
      <c r="L16" s="2"/>
    </row>
    <row r="17" spans="2:12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5">SUM(J4:J16)</f>
        <v>5925</v>
      </c>
      <c r="K17" s="14">
        <f t="shared" si="5"/>
        <v>0</v>
      </c>
      <c r="L17" s="16">
        <f t="shared" si="5"/>
        <v>0</v>
      </c>
    </row>
    <row r="18" spans="2:12" x14ac:dyDescent="0.25">
      <c r="B18" s="19"/>
      <c r="C18" s="9" t="s">
        <v>24</v>
      </c>
      <c r="D18" s="9">
        <v>400</v>
      </c>
      <c r="E18" s="36">
        <f t="shared" ref="E18:E20" si="6">D18-F18</f>
        <v>0</v>
      </c>
      <c r="F18" s="5">
        <v>400</v>
      </c>
    </row>
    <row r="19" spans="2:12" x14ac:dyDescent="0.25">
      <c r="B19" s="19"/>
      <c r="C19" s="9" t="s">
        <v>48</v>
      </c>
      <c r="D19" s="9">
        <v>450</v>
      </c>
      <c r="E19" s="36">
        <f t="shared" si="6"/>
        <v>0</v>
      </c>
      <c r="F19" s="5">
        <v>450</v>
      </c>
      <c r="H19" s="95" t="s">
        <v>49</v>
      </c>
      <c r="I19" s="96"/>
      <c r="J19" s="96"/>
      <c r="K19" s="96"/>
      <c r="L19" s="97"/>
    </row>
    <row r="20" spans="2:12" x14ac:dyDescent="0.25">
      <c r="B20" s="19"/>
      <c r="C20" s="9" t="s">
        <v>50</v>
      </c>
      <c r="D20" s="9">
        <v>100</v>
      </c>
      <c r="E20" s="36">
        <f t="shared" si="6"/>
        <v>0</v>
      </c>
      <c r="F20" s="5">
        <v>100</v>
      </c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2" ht="15.75" customHeight="1" x14ac:dyDescent="0.25">
      <c r="B21" s="13"/>
      <c r="C21" s="14" t="s">
        <v>41</v>
      </c>
      <c r="D21" s="14">
        <f t="shared" ref="D21:F21" si="7">SUM(D18:D20)</f>
        <v>950</v>
      </c>
      <c r="E21" s="37">
        <f t="shared" si="7"/>
        <v>0</v>
      </c>
      <c r="F21" s="16">
        <f t="shared" si="7"/>
        <v>950</v>
      </c>
      <c r="H21" s="9"/>
      <c r="I21" s="2" t="s">
        <v>51</v>
      </c>
      <c r="J21" s="9">
        <v>1056</v>
      </c>
      <c r="K21" s="2"/>
      <c r="L21" s="2"/>
    </row>
    <row r="22" spans="2:12" ht="15.75" customHeight="1" x14ac:dyDescent="0.25">
      <c r="H22" s="9"/>
      <c r="I22" s="2" t="s">
        <v>52</v>
      </c>
      <c r="J22" s="9">
        <v>300</v>
      </c>
      <c r="K22" s="2"/>
      <c r="L22" s="2"/>
    </row>
    <row r="23" spans="2:12" ht="15.75" customHeight="1" x14ac:dyDescent="0.25">
      <c r="B23" s="98" t="s">
        <v>53</v>
      </c>
      <c r="C23" s="96"/>
      <c r="D23" s="96"/>
      <c r="E23" s="96"/>
      <c r="F23" s="97"/>
      <c r="H23" s="9"/>
      <c r="I23" s="2" t="s">
        <v>54</v>
      </c>
      <c r="J23" s="9">
        <v>124</v>
      </c>
      <c r="K23" s="2"/>
      <c r="L23" s="2"/>
    </row>
    <row r="24" spans="2:12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>
        <v>400</v>
      </c>
      <c r="K24" s="2"/>
      <c r="L24" s="2"/>
    </row>
    <row r="25" spans="2:12" ht="15.75" customHeight="1" x14ac:dyDescent="0.25">
      <c r="B25" s="19"/>
      <c r="C25" s="9" t="s">
        <v>167</v>
      </c>
      <c r="D25" s="9">
        <v>200</v>
      </c>
      <c r="E25" s="21">
        <f t="shared" ref="E25:E27" si="8">D25-F25</f>
        <v>0</v>
      </c>
      <c r="F25" s="5">
        <v>200</v>
      </c>
      <c r="H25" s="9"/>
      <c r="I25" s="2" t="s">
        <v>144</v>
      </c>
      <c r="J25" s="9">
        <v>500</v>
      </c>
      <c r="K25" s="2"/>
      <c r="L25" s="2"/>
    </row>
    <row r="26" spans="2:12" ht="15.75" customHeight="1" x14ac:dyDescent="0.25">
      <c r="B26" s="19"/>
      <c r="C26" s="9" t="s">
        <v>168</v>
      </c>
      <c r="D26" s="9">
        <v>40</v>
      </c>
      <c r="E26" s="21">
        <f t="shared" si="8"/>
        <v>0</v>
      </c>
      <c r="F26" s="5">
        <v>40</v>
      </c>
      <c r="H26" s="9"/>
      <c r="I26" s="2" t="s">
        <v>59</v>
      </c>
      <c r="J26" s="9">
        <v>500</v>
      </c>
      <c r="K26" s="2"/>
      <c r="L26" s="2"/>
    </row>
    <row r="27" spans="2:12" ht="15.75" customHeight="1" x14ac:dyDescent="0.25">
      <c r="B27" s="19"/>
      <c r="C27" s="9" t="s">
        <v>169</v>
      </c>
      <c r="D27" s="9">
        <v>80</v>
      </c>
      <c r="E27" s="21">
        <f t="shared" si="8"/>
        <v>0</v>
      </c>
      <c r="F27" s="5">
        <v>80</v>
      </c>
      <c r="H27" s="9"/>
      <c r="I27" s="2" t="s">
        <v>61</v>
      </c>
      <c r="J27" s="9">
        <v>400</v>
      </c>
      <c r="K27" s="2"/>
      <c r="L27" s="2"/>
    </row>
    <row r="28" spans="2:12" ht="15.75" customHeight="1" x14ac:dyDescent="0.25">
      <c r="B28" s="17"/>
      <c r="C28" s="1"/>
      <c r="D28" s="1"/>
      <c r="E28" s="1"/>
      <c r="F28" s="23"/>
      <c r="H28" s="1"/>
      <c r="I28" s="2" t="s">
        <v>145</v>
      </c>
      <c r="J28" s="9">
        <v>0</v>
      </c>
      <c r="K28" s="2"/>
      <c r="L28" s="1"/>
    </row>
    <row r="29" spans="2:12" ht="15.75" customHeight="1" x14ac:dyDescent="0.25">
      <c r="B29" s="19"/>
      <c r="C29" s="9"/>
      <c r="D29" s="9"/>
      <c r="E29" s="36"/>
      <c r="F29" s="5"/>
      <c r="H29" s="33"/>
      <c r="I29" s="34" t="s">
        <v>41</v>
      </c>
      <c r="J29" s="34">
        <f>SUM(J21:J28)</f>
        <v>3280</v>
      </c>
      <c r="K29" s="34">
        <f t="shared" ref="K29:L29" si="9">SUM(K21:K27)</f>
        <v>0</v>
      </c>
      <c r="L29" s="35">
        <f t="shared" si="9"/>
        <v>0</v>
      </c>
    </row>
    <row r="30" spans="2:12" ht="15.75" customHeight="1" x14ac:dyDescent="0.25">
      <c r="B30" s="17"/>
      <c r="C30" s="1"/>
      <c r="D30" s="1"/>
      <c r="E30" s="1"/>
      <c r="F30" s="23"/>
    </row>
    <row r="31" spans="2:12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2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9"/>
      <c r="I33" s="2" t="s">
        <v>69</v>
      </c>
      <c r="J33" s="9">
        <v>0</v>
      </c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/>
      <c r="J34" s="9"/>
      <c r="K34" s="2"/>
      <c r="L34" s="2"/>
    </row>
    <row r="35" spans="2:12" ht="15.75" customHeight="1" x14ac:dyDescent="0.25">
      <c r="B35" s="24"/>
      <c r="C35" s="25" t="s">
        <v>41</v>
      </c>
      <c r="D35" s="25">
        <f t="shared" ref="D35:F35" si="10">SUM(D25:D27)</f>
        <v>320</v>
      </c>
      <c r="E35" s="26">
        <f t="shared" si="10"/>
        <v>0</v>
      </c>
      <c r="F35" s="27">
        <f t="shared" si="10"/>
        <v>320</v>
      </c>
      <c r="H35" s="9"/>
      <c r="I35" s="2"/>
      <c r="J35" s="9"/>
      <c r="K35" s="2"/>
      <c r="L35" s="2"/>
    </row>
    <row r="36" spans="2:12" ht="15.75" customHeight="1" x14ac:dyDescent="0.25">
      <c r="H36" s="9"/>
      <c r="I36" s="2"/>
      <c r="J36" s="9"/>
      <c r="K36" s="2"/>
      <c r="L36" s="2"/>
    </row>
    <row r="37" spans="2:12" ht="15.75" customHeight="1" x14ac:dyDescent="0.25">
      <c r="C37" s="1" t="s">
        <v>99</v>
      </c>
      <c r="E37" s="28">
        <f>E14+E21+E35</f>
        <v>-7.0000000000163709E-2</v>
      </c>
      <c r="H37" s="9"/>
      <c r="I37" s="2"/>
      <c r="J37" s="9"/>
      <c r="K37" s="2"/>
      <c r="L37" s="2"/>
    </row>
    <row r="38" spans="2:12" ht="15.75" customHeight="1" x14ac:dyDescent="0.25">
      <c r="C38" s="1" t="s">
        <v>77</v>
      </c>
      <c r="E38" s="1">
        <v>0</v>
      </c>
      <c r="F38" s="1" t="s">
        <v>170</v>
      </c>
      <c r="H38" s="9"/>
      <c r="I38" s="2"/>
      <c r="J38" s="9"/>
      <c r="K38" s="2"/>
      <c r="L38" s="2"/>
    </row>
    <row r="39" spans="2:12" ht="15.75" customHeight="1" x14ac:dyDescent="0.25">
      <c r="C39" s="1" t="s">
        <v>79</v>
      </c>
      <c r="E39" s="28">
        <f>E37+E38</f>
        <v>-7.0000000000163709E-2</v>
      </c>
      <c r="H39" s="9"/>
      <c r="I39" s="2"/>
      <c r="J39" s="9"/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>
        <f>SUM(J33:J40)</f>
        <v>0</v>
      </c>
      <c r="K41" s="34">
        <f t="shared" ref="K41:L41" si="11">SUM(K33:K39)</f>
        <v>0</v>
      </c>
      <c r="L41" s="35">
        <f t="shared" si="11"/>
        <v>0</v>
      </c>
    </row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8" priority="1" operator="lessThan">
      <formula>0</formula>
    </cfRule>
    <cfRule type="cellIs" dxfId="7" priority="2" operator="greaterThan">
      <formula>0</formula>
    </cfRule>
    <cfRule type="cellIs" dxfId="6" priority="3" operator="greaterThan">
      <formula>0</formula>
    </cfRule>
  </conditionalFormatting>
  <pageMargins left="0.7" right="0.7" top="0.75" bottom="0.75" header="0" footer="0"/>
  <pageSetup orientation="landscape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T1000"/>
  <sheetViews>
    <sheetView workbookViewId="0"/>
  </sheetViews>
  <sheetFormatPr defaultColWidth="14.42578125" defaultRowHeight="15" customHeight="1" x14ac:dyDescent="0.25"/>
  <cols>
    <col min="1" max="1" width="1.140625" customWidth="1"/>
    <col min="2" max="2" width="3" customWidth="1"/>
    <col min="3" max="3" width="16.42578125" customWidth="1"/>
    <col min="4" max="6" width="8.7109375" customWidth="1"/>
    <col min="7" max="7" width="2.7109375" customWidth="1"/>
    <col min="8" max="8" width="3" customWidth="1"/>
    <col min="9" max="9" width="16" customWidth="1"/>
    <col min="10" max="13" width="8.7109375" customWidth="1"/>
    <col min="14" max="14" width="12.140625" customWidth="1"/>
    <col min="15" max="15" width="10.42578125" customWidth="1"/>
    <col min="16" max="16" width="11.42578125" customWidth="1"/>
    <col min="17" max="17" width="13.5703125" customWidth="1"/>
    <col min="18" max="18" width="13.140625" customWidth="1"/>
    <col min="19" max="19" width="11.7109375" customWidth="1"/>
    <col min="20" max="20" width="16.85546875" customWidth="1"/>
    <col min="21" max="26" width="8.7109375" customWidth="1"/>
  </cols>
  <sheetData>
    <row r="1" spans="2:20" ht="6.75" customHeight="1" x14ac:dyDescent="0.25"/>
    <row r="2" spans="2:20" x14ac:dyDescent="0.25">
      <c r="B2" s="98" t="s">
        <v>1</v>
      </c>
      <c r="C2" s="96"/>
      <c r="D2" s="96"/>
      <c r="E2" s="96"/>
      <c r="F2" s="97"/>
      <c r="H2" s="95" t="s">
        <v>2</v>
      </c>
      <c r="I2" s="96"/>
      <c r="J2" s="96"/>
      <c r="K2" s="96"/>
      <c r="L2" s="97"/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3" t="s">
        <v>9</v>
      </c>
    </row>
    <row r="3" spans="2:20" x14ac:dyDescent="0.25">
      <c r="B3" s="4"/>
      <c r="C3" s="2" t="s">
        <v>10</v>
      </c>
      <c r="D3" s="2" t="s">
        <v>11</v>
      </c>
      <c r="E3" s="2" t="s">
        <v>12</v>
      </c>
      <c r="F3" s="5" t="s">
        <v>13</v>
      </c>
      <c r="H3" s="2"/>
      <c r="I3" s="2" t="s">
        <v>10</v>
      </c>
      <c r="J3" s="2" t="s">
        <v>11</v>
      </c>
      <c r="K3" s="2" t="s">
        <v>12</v>
      </c>
      <c r="L3" s="2" t="s">
        <v>13</v>
      </c>
      <c r="N3" s="2" t="s">
        <v>14</v>
      </c>
      <c r="O3" s="6"/>
      <c r="P3" s="2"/>
      <c r="Q3" s="2">
        <f>D14</f>
        <v>3731</v>
      </c>
      <c r="R3" s="2"/>
      <c r="S3" s="2"/>
      <c r="T3" s="7">
        <f t="shared" ref="T3:T4" si="0">O3-P3</f>
        <v>0</v>
      </c>
    </row>
    <row r="4" spans="2:20" x14ac:dyDescent="0.25">
      <c r="B4" s="19">
        <v>2</v>
      </c>
      <c r="C4" s="9" t="s">
        <v>15</v>
      </c>
      <c r="D4" s="9">
        <v>85</v>
      </c>
      <c r="E4" s="36"/>
      <c r="F4" s="5"/>
      <c r="G4" s="2"/>
      <c r="H4" s="9">
        <v>1</v>
      </c>
      <c r="I4" s="9" t="s">
        <v>16</v>
      </c>
      <c r="J4" s="9">
        <v>3102</v>
      </c>
      <c r="K4" s="2"/>
      <c r="L4" s="2"/>
      <c r="N4" s="2" t="s">
        <v>17</v>
      </c>
      <c r="O4" s="11"/>
      <c r="P4" s="2"/>
      <c r="Q4" s="2">
        <f>J17</f>
        <v>5925</v>
      </c>
      <c r="R4" s="2"/>
      <c r="S4" s="2"/>
      <c r="T4" s="7">
        <f t="shared" si="0"/>
        <v>0</v>
      </c>
    </row>
    <row r="5" spans="2:20" x14ac:dyDescent="0.25">
      <c r="B5" s="19">
        <v>4</v>
      </c>
      <c r="C5" s="9" t="s">
        <v>18</v>
      </c>
      <c r="D5" s="9">
        <v>40</v>
      </c>
      <c r="E5" s="36"/>
      <c r="F5" s="5"/>
      <c r="G5" s="2"/>
      <c r="H5" s="9">
        <v>3</v>
      </c>
      <c r="I5" s="9" t="s">
        <v>19</v>
      </c>
      <c r="J5" s="9">
        <v>130</v>
      </c>
      <c r="K5" s="2"/>
      <c r="L5" s="2"/>
      <c r="N5" s="2" t="s">
        <v>5</v>
      </c>
      <c r="O5" s="2">
        <f>O3+O4</f>
        <v>0</v>
      </c>
      <c r="P5" s="2">
        <f>Q5+R5+S5</f>
        <v>9656</v>
      </c>
      <c r="Q5" s="2">
        <f t="shared" ref="Q5:S5" si="1">Q3+Q4</f>
        <v>9656</v>
      </c>
      <c r="R5" s="2">
        <f t="shared" si="1"/>
        <v>0</v>
      </c>
      <c r="S5" s="2">
        <f t="shared" si="1"/>
        <v>0</v>
      </c>
      <c r="T5" s="12"/>
    </row>
    <row r="6" spans="2:20" x14ac:dyDescent="0.25">
      <c r="B6" s="19">
        <v>5</v>
      </c>
      <c r="C6" s="9" t="s">
        <v>20</v>
      </c>
      <c r="D6" s="9">
        <v>800</v>
      </c>
      <c r="E6" s="36"/>
      <c r="F6" s="5"/>
      <c r="G6" s="2"/>
      <c r="H6" s="9">
        <v>7</v>
      </c>
      <c r="I6" s="9" t="s">
        <v>21</v>
      </c>
      <c r="J6" s="9">
        <v>800</v>
      </c>
      <c r="K6" s="2"/>
      <c r="L6" s="2"/>
    </row>
    <row r="7" spans="2:20" x14ac:dyDescent="0.25">
      <c r="B7" s="19">
        <v>6</v>
      </c>
      <c r="C7" s="9" t="s">
        <v>21</v>
      </c>
      <c r="D7" s="9">
        <v>800</v>
      </c>
      <c r="E7" s="36"/>
      <c r="F7" s="5"/>
      <c r="G7" s="2"/>
      <c r="H7" s="9">
        <v>9</v>
      </c>
      <c r="I7" s="9" t="s">
        <v>22</v>
      </c>
      <c r="J7" s="9">
        <v>128</v>
      </c>
      <c r="K7" s="2"/>
      <c r="L7" s="2"/>
    </row>
    <row r="8" spans="2:20" x14ac:dyDescent="0.25">
      <c r="B8" s="19">
        <v>8</v>
      </c>
      <c r="C8" s="9" t="s">
        <v>149</v>
      </c>
      <c r="D8" s="9">
        <v>56</v>
      </c>
      <c r="E8" s="36"/>
      <c r="F8" s="5"/>
      <c r="G8" s="2"/>
      <c r="H8" s="9">
        <v>10</v>
      </c>
      <c r="I8" s="9" t="s">
        <v>25</v>
      </c>
      <c r="J8" s="9">
        <v>65</v>
      </c>
      <c r="K8" s="2"/>
      <c r="L8" s="2"/>
    </row>
    <row r="9" spans="2:20" x14ac:dyDescent="0.25">
      <c r="B9" s="19">
        <v>12</v>
      </c>
      <c r="C9" s="9" t="s">
        <v>29</v>
      </c>
      <c r="D9" s="9">
        <v>100</v>
      </c>
      <c r="E9" s="36"/>
      <c r="F9" s="5"/>
      <c r="G9" s="2"/>
      <c r="H9" s="9">
        <v>11</v>
      </c>
      <c r="I9" s="9" t="s">
        <v>30</v>
      </c>
      <c r="J9" s="9">
        <v>300</v>
      </c>
      <c r="K9" s="2"/>
      <c r="L9" s="2"/>
    </row>
    <row r="10" spans="2:20" x14ac:dyDescent="0.25">
      <c r="B10" s="19">
        <v>15</v>
      </c>
      <c r="C10" s="9" t="s">
        <v>33</v>
      </c>
      <c r="D10" s="9">
        <v>300</v>
      </c>
      <c r="E10" s="36"/>
      <c r="F10" s="5"/>
      <c r="G10" s="2"/>
      <c r="H10" s="9">
        <v>13</v>
      </c>
      <c r="I10" s="9" t="s">
        <v>34</v>
      </c>
      <c r="J10" s="9">
        <v>50</v>
      </c>
      <c r="K10" s="2"/>
      <c r="L10" s="2"/>
    </row>
    <row r="11" spans="2:20" x14ac:dyDescent="0.25">
      <c r="B11" s="19">
        <v>17</v>
      </c>
      <c r="C11" s="9" t="s">
        <v>36</v>
      </c>
      <c r="D11" s="9">
        <v>50</v>
      </c>
      <c r="E11" s="36"/>
      <c r="F11" s="5"/>
      <c r="G11" s="2"/>
      <c r="H11" s="9">
        <v>14</v>
      </c>
      <c r="I11" s="9" t="s">
        <v>37</v>
      </c>
      <c r="J11" s="9">
        <v>100</v>
      </c>
      <c r="K11" s="2"/>
      <c r="L11" s="2"/>
    </row>
    <row r="12" spans="2:20" x14ac:dyDescent="0.25">
      <c r="B12" s="19">
        <v>21</v>
      </c>
      <c r="C12" s="9" t="s">
        <v>38</v>
      </c>
      <c r="D12" s="9">
        <v>1000</v>
      </c>
      <c r="E12" s="36"/>
      <c r="F12" s="5"/>
      <c r="G12" s="2"/>
      <c r="H12" s="9">
        <v>16</v>
      </c>
      <c r="I12" s="9" t="s">
        <v>39</v>
      </c>
      <c r="J12" s="9">
        <v>100</v>
      </c>
      <c r="K12" s="2"/>
      <c r="L12" s="2"/>
    </row>
    <row r="13" spans="2:20" x14ac:dyDescent="0.25">
      <c r="B13" s="19">
        <v>22</v>
      </c>
      <c r="C13" s="9" t="s">
        <v>40</v>
      </c>
      <c r="D13" s="9">
        <v>500</v>
      </c>
      <c r="E13" s="36"/>
      <c r="F13" s="5"/>
      <c r="G13" s="2"/>
      <c r="H13" s="9">
        <v>18</v>
      </c>
      <c r="I13" s="9" t="s">
        <v>36</v>
      </c>
      <c r="J13" s="9">
        <v>50</v>
      </c>
      <c r="K13" s="2"/>
      <c r="L13" s="2"/>
    </row>
    <row r="14" spans="2:20" x14ac:dyDescent="0.25">
      <c r="B14" s="13"/>
      <c r="C14" s="14" t="s">
        <v>41</v>
      </c>
      <c r="D14" s="14">
        <f>SUM(D4:D13)</f>
        <v>3731</v>
      </c>
      <c r="E14" s="37"/>
      <c r="F14" s="16"/>
      <c r="G14" s="2"/>
      <c r="H14" s="9">
        <v>19</v>
      </c>
      <c r="I14" s="9" t="s">
        <v>42</v>
      </c>
      <c r="J14" s="9">
        <v>350</v>
      </c>
      <c r="K14" s="2"/>
      <c r="L14" s="2"/>
    </row>
    <row r="15" spans="2:20" x14ac:dyDescent="0.25">
      <c r="G15" s="2"/>
      <c r="H15" s="9">
        <v>20</v>
      </c>
      <c r="I15" s="9" t="s">
        <v>44</v>
      </c>
      <c r="J15" s="9">
        <v>50</v>
      </c>
      <c r="K15" s="2"/>
      <c r="L15" s="2"/>
    </row>
    <row r="16" spans="2:20" x14ac:dyDescent="0.25">
      <c r="B16" s="98" t="s">
        <v>45</v>
      </c>
      <c r="C16" s="96"/>
      <c r="D16" s="96"/>
      <c r="E16" s="96"/>
      <c r="F16" s="97"/>
      <c r="G16" s="2"/>
      <c r="H16" s="9">
        <v>23</v>
      </c>
      <c r="I16" s="9" t="s">
        <v>46</v>
      </c>
      <c r="J16" s="9">
        <v>700</v>
      </c>
      <c r="K16" s="2"/>
      <c r="L16" s="2"/>
    </row>
    <row r="17" spans="2:12" x14ac:dyDescent="0.25">
      <c r="B17" s="4"/>
      <c r="C17" s="2" t="s">
        <v>10</v>
      </c>
      <c r="D17" s="2" t="s">
        <v>11</v>
      </c>
      <c r="E17" s="2" t="s">
        <v>12</v>
      </c>
      <c r="F17" s="5" t="s">
        <v>13</v>
      </c>
      <c r="H17" s="13"/>
      <c r="I17" s="14" t="s">
        <v>41</v>
      </c>
      <c r="J17" s="14">
        <f t="shared" ref="J17:L17" si="2">SUM(J4:J16)</f>
        <v>5925</v>
      </c>
      <c r="K17" s="14">
        <f t="shared" si="2"/>
        <v>0</v>
      </c>
      <c r="L17" s="16">
        <f t="shared" si="2"/>
        <v>0</v>
      </c>
    </row>
    <row r="18" spans="2:12" x14ac:dyDescent="0.25">
      <c r="B18" s="19"/>
      <c r="C18" s="9" t="s">
        <v>24</v>
      </c>
      <c r="D18" s="9"/>
      <c r="E18" s="36"/>
      <c r="F18" s="5"/>
    </row>
    <row r="19" spans="2:12" x14ac:dyDescent="0.25">
      <c r="B19" s="19"/>
      <c r="C19" s="9" t="s">
        <v>48</v>
      </c>
      <c r="D19" s="9"/>
      <c r="E19" s="36"/>
      <c r="F19" s="5"/>
      <c r="H19" s="95" t="s">
        <v>49</v>
      </c>
      <c r="I19" s="96"/>
      <c r="J19" s="96"/>
      <c r="K19" s="96"/>
      <c r="L19" s="97"/>
    </row>
    <row r="20" spans="2:12" x14ac:dyDescent="0.25">
      <c r="B20" s="19"/>
      <c r="C20" s="9" t="s">
        <v>50</v>
      </c>
      <c r="D20" s="9"/>
      <c r="E20" s="36"/>
      <c r="F20" s="5"/>
      <c r="H20" s="2"/>
      <c r="I20" s="2" t="s">
        <v>10</v>
      </c>
      <c r="J20" s="2" t="s">
        <v>11</v>
      </c>
      <c r="K20" s="2" t="s">
        <v>12</v>
      </c>
      <c r="L20" s="2" t="s">
        <v>13</v>
      </c>
    </row>
    <row r="21" spans="2:12" ht="15.75" customHeight="1" x14ac:dyDescent="0.25">
      <c r="B21" s="13"/>
      <c r="C21" s="14" t="s">
        <v>41</v>
      </c>
      <c r="D21" s="14"/>
      <c r="E21" s="37"/>
      <c r="F21" s="16"/>
      <c r="H21" s="9"/>
      <c r="I21" s="2" t="s">
        <v>51</v>
      </c>
      <c r="J21" s="9"/>
      <c r="K21" s="2"/>
      <c r="L21" s="2"/>
    </row>
    <row r="22" spans="2:12" ht="15.75" customHeight="1" x14ac:dyDescent="0.25">
      <c r="H22" s="9"/>
      <c r="I22" s="2" t="s">
        <v>52</v>
      </c>
      <c r="J22" s="9"/>
      <c r="K22" s="2"/>
      <c r="L22" s="2"/>
    </row>
    <row r="23" spans="2:12" ht="15.75" customHeight="1" x14ac:dyDescent="0.25">
      <c r="B23" s="98" t="s">
        <v>53</v>
      </c>
      <c r="C23" s="96"/>
      <c r="D23" s="96"/>
      <c r="E23" s="96"/>
      <c r="F23" s="97"/>
      <c r="H23" s="9"/>
      <c r="I23" s="2" t="s">
        <v>54</v>
      </c>
      <c r="J23" s="9"/>
      <c r="K23" s="2"/>
      <c r="L23" s="2"/>
    </row>
    <row r="24" spans="2:12" ht="15.75" customHeight="1" x14ac:dyDescent="0.25">
      <c r="B24" s="4"/>
      <c r="C24" s="2" t="s">
        <v>10</v>
      </c>
      <c r="D24" s="2" t="s">
        <v>11</v>
      </c>
      <c r="E24" s="2" t="s">
        <v>12</v>
      </c>
      <c r="F24" s="5" t="s">
        <v>13</v>
      </c>
      <c r="H24" s="9"/>
      <c r="I24" s="2" t="s">
        <v>143</v>
      </c>
      <c r="J24" s="9"/>
      <c r="K24" s="2"/>
      <c r="L24" s="2"/>
    </row>
    <row r="25" spans="2:12" ht="15.75" customHeight="1" x14ac:dyDescent="0.25">
      <c r="B25" s="19"/>
      <c r="C25" s="9" t="s">
        <v>167</v>
      </c>
      <c r="D25" s="9"/>
      <c r="E25" s="36"/>
      <c r="F25" s="5"/>
      <c r="H25" s="9"/>
      <c r="I25" s="2" t="s">
        <v>144</v>
      </c>
      <c r="J25" s="9"/>
      <c r="K25" s="2"/>
      <c r="L25" s="2"/>
    </row>
    <row r="26" spans="2:12" ht="15.75" customHeight="1" x14ac:dyDescent="0.25">
      <c r="B26" s="19"/>
      <c r="C26" s="9" t="s">
        <v>168</v>
      </c>
      <c r="D26" s="9"/>
      <c r="E26" s="36"/>
      <c r="F26" s="5"/>
      <c r="H26" s="9"/>
      <c r="I26" s="2" t="s">
        <v>59</v>
      </c>
      <c r="J26" s="9"/>
      <c r="K26" s="2"/>
      <c r="L26" s="2"/>
    </row>
    <row r="27" spans="2:12" ht="15.75" customHeight="1" x14ac:dyDescent="0.25">
      <c r="B27" s="19"/>
      <c r="C27" s="9" t="s">
        <v>169</v>
      </c>
      <c r="D27" s="9"/>
      <c r="E27" s="36"/>
      <c r="F27" s="5"/>
      <c r="H27" s="9"/>
      <c r="I27" s="2" t="s">
        <v>61</v>
      </c>
      <c r="J27" s="9"/>
      <c r="K27" s="2"/>
      <c r="L27" s="2"/>
    </row>
    <row r="28" spans="2:12" ht="15.75" customHeight="1" x14ac:dyDescent="0.25">
      <c r="B28" s="17"/>
      <c r="C28" s="1"/>
      <c r="D28" s="1"/>
      <c r="E28" s="1"/>
      <c r="F28" s="23"/>
      <c r="H28" s="1"/>
      <c r="I28" s="2" t="s">
        <v>145</v>
      </c>
      <c r="J28" s="9"/>
      <c r="K28" s="2"/>
      <c r="L28" s="1"/>
    </row>
    <row r="29" spans="2:12" ht="15.75" customHeight="1" x14ac:dyDescent="0.25">
      <c r="B29" s="19"/>
      <c r="C29" s="9"/>
      <c r="D29" s="9"/>
      <c r="E29" s="36"/>
      <c r="F29" s="5"/>
      <c r="H29" s="33"/>
      <c r="I29" s="34" t="s">
        <v>41</v>
      </c>
      <c r="J29" s="34"/>
      <c r="K29" s="34"/>
      <c r="L29" s="35"/>
    </row>
    <row r="30" spans="2:12" ht="15.75" customHeight="1" x14ac:dyDescent="0.25">
      <c r="B30" s="17"/>
      <c r="C30" s="1"/>
      <c r="D30" s="1"/>
      <c r="E30" s="1"/>
      <c r="F30" s="23"/>
    </row>
    <row r="31" spans="2:12" ht="15.75" customHeight="1" x14ac:dyDescent="0.25">
      <c r="B31" s="19"/>
      <c r="C31" s="9"/>
      <c r="D31" s="9"/>
      <c r="E31" s="36"/>
      <c r="F31" s="5"/>
      <c r="H31" s="95" t="s">
        <v>67</v>
      </c>
      <c r="I31" s="96"/>
      <c r="J31" s="96"/>
      <c r="K31" s="96"/>
      <c r="L31" s="97"/>
    </row>
    <row r="32" spans="2:12" ht="15.75" customHeight="1" x14ac:dyDescent="0.25">
      <c r="B32" s="17"/>
      <c r="C32" s="1"/>
      <c r="D32" s="1"/>
      <c r="E32" s="1"/>
      <c r="F32" s="23"/>
      <c r="H32" s="2"/>
      <c r="I32" s="2" t="s">
        <v>10</v>
      </c>
      <c r="J32" s="2" t="s">
        <v>11</v>
      </c>
      <c r="K32" s="2" t="s">
        <v>12</v>
      </c>
      <c r="L32" s="2" t="s">
        <v>13</v>
      </c>
    </row>
    <row r="33" spans="2:12" ht="15.75" customHeight="1" x14ac:dyDescent="0.25">
      <c r="B33" s="19"/>
      <c r="C33" s="9"/>
      <c r="D33" s="9"/>
      <c r="E33" s="36"/>
      <c r="F33" s="5"/>
      <c r="H33" s="9"/>
      <c r="I33" s="2" t="s">
        <v>69</v>
      </c>
      <c r="J33" s="9"/>
      <c r="K33" s="2"/>
      <c r="L33" s="2"/>
    </row>
    <row r="34" spans="2:12" ht="15.75" customHeight="1" x14ac:dyDescent="0.25">
      <c r="B34" s="17"/>
      <c r="C34" s="1"/>
      <c r="D34" s="1"/>
      <c r="E34" s="1"/>
      <c r="F34" s="23"/>
      <c r="H34" s="9"/>
      <c r="I34" s="2"/>
      <c r="J34" s="9"/>
      <c r="K34" s="2"/>
      <c r="L34" s="2"/>
    </row>
    <row r="35" spans="2:12" ht="15.75" customHeight="1" x14ac:dyDescent="0.25">
      <c r="B35" s="24"/>
      <c r="C35" s="25" t="s">
        <v>41</v>
      </c>
      <c r="D35" s="25"/>
      <c r="E35" s="41"/>
      <c r="F35" s="27"/>
      <c r="H35" s="9"/>
      <c r="I35" s="2"/>
      <c r="J35" s="9"/>
      <c r="K35" s="2"/>
      <c r="L35" s="2"/>
    </row>
    <row r="36" spans="2:12" ht="15.75" customHeight="1" x14ac:dyDescent="0.25">
      <c r="H36" s="9"/>
      <c r="I36" s="2"/>
      <c r="J36" s="9"/>
      <c r="K36" s="2"/>
      <c r="L36" s="2"/>
    </row>
    <row r="37" spans="2:12" ht="15.75" customHeight="1" x14ac:dyDescent="0.25">
      <c r="H37" s="9"/>
      <c r="I37" s="2"/>
      <c r="J37" s="9"/>
      <c r="K37" s="2"/>
      <c r="L37" s="2"/>
    </row>
    <row r="38" spans="2:12" ht="15.75" customHeight="1" x14ac:dyDescent="0.25">
      <c r="H38" s="9"/>
      <c r="I38" s="2"/>
      <c r="J38" s="9"/>
      <c r="K38" s="2"/>
      <c r="L38" s="2"/>
    </row>
    <row r="39" spans="2:12" ht="15.75" customHeight="1" x14ac:dyDescent="0.25">
      <c r="H39" s="9"/>
      <c r="I39" s="2"/>
      <c r="J39" s="9"/>
      <c r="K39" s="2"/>
      <c r="L39" s="2"/>
    </row>
    <row r="40" spans="2:12" ht="15.75" customHeight="1" x14ac:dyDescent="0.25">
      <c r="H40" s="1"/>
      <c r="I40" s="2"/>
      <c r="J40" s="9"/>
      <c r="K40" s="2"/>
      <c r="L40" s="1"/>
    </row>
    <row r="41" spans="2:12" ht="15.75" customHeight="1" x14ac:dyDescent="0.25">
      <c r="H41" s="33"/>
      <c r="I41" s="34" t="s">
        <v>41</v>
      </c>
      <c r="J41" s="34"/>
      <c r="K41" s="34"/>
      <c r="L41" s="35"/>
    </row>
    <row r="42" spans="2:12" ht="15.75" customHeight="1" x14ac:dyDescent="0.25"/>
    <row r="43" spans="2:12" ht="15.75" customHeight="1" x14ac:dyDescent="0.25"/>
    <row r="44" spans="2:12" ht="15.75" customHeight="1" x14ac:dyDescent="0.25"/>
    <row r="45" spans="2:12" ht="15.75" customHeight="1" x14ac:dyDescent="0.25"/>
    <row r="46" spans="2:12" ht="15.75" customHeight="1" x14ac:dyDescent="0.25"/>
    <row r="47" spans="2:12" ht="15.75" customHeight="1" x14ac:dyDescent="0.25"/>
    <row r="48" spans="2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H31:L31"/>
    <mergeCell ref="B2:F2"/>
    <mergeCell ref="H2:L2"/>
    <mergeCell ref="B16:F16"/>
    <mergeCell ref="H19:L19"/>
    <mergeCell ref="B23:F23"/>
  </mergeCells>
  <conditionalFormatting sqref="T3:T4">
    <cfRule type="cellIs" dxfId="5" priority="1" operator="lessThan">
      <formula>0</formula>
    </cfRule>
    <cfRule type="cellIs" dxfId="4" priority="2" operator="greaterThan">
      <formula>0</formula>
    </cfRule>
    <cfRule type="cellIs" dxfId="3" priority="3" operator="greaterThan">
      <formula>0</formula>
    </cfRule>
  </conditionalFormatting>
  <pageMargins left="0.7" right="0.7" top="0.75" bottom="0.75" header="0" footer="0"/>
  <pageSetup paperSize="9" orientation="portrait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9.140625" customWidth="1"/>
    <col min="14" max="15" width="12" customWidth="1"/>
    <col min="16" max="16" width="22.5703125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4" t="s">
        <v>171</v>
      </c>
      <c r="B2" s="2" t="s">
        <v>10</v>
      </c>
      <c r="C2" s="2" t="s">
        <v>11</v>
      </c>
      <c r="D2" s="2" t="s">
        <v>12</v>
      </c>
      <c r="E2" s="5" t="s">
        <v>13</v>
      </c>
      <c r="F2" s="2"/>
      <c r="G2" s="4" t="s">
        <v>171</v>
      </c>
      <c r="H2" s="2" t="s">
        <v>10</v>
      </c>
      <c r="I2" s="2" t="s">
        <v>11</v>
      </c>
      <c r="J2" s="2" t="s">
        <v>12</v>
      </c>
      <c r="K2" s="5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4"/>
      <c r="B3" s="2" t="s">
        <v>176</v>
      </c>
      <c r="C3" s="2">
        <v>85</v>
      </c>
      <c r="D3" s="36">
        <f>('Listopad - wydatki'!$C3-'Listopad - wydatki'!$E3)</f>
        <v>0</v>
      </c>
      <c r="E3" s="5">
        <v>85</v>
      </c>
      <c r="F3" s="2"/>
      <c r="G3" s="4"/>
      <c r="H3" s="2" t="s">
        <v>177</v>
      </c>
      <c r="I3" s="2">
        <v>3100</v>
      </c>
      <c r="J3" s="2">
        <f>('Listopad - wydatki'!$I3-K3)</f>
        <v>3100</v>
      </c>
      <c r="K3" s="5"/>
      <c r="M3" s="2" t="s">
        <v>14</v>
      </c>
      <c r="N3" s="2">
        <v>4108</v>
      </c>
      <c r="O3" s="2">
        <f>C17</f>
        <v>2501</v>
      </c>
      <c r="P3" s="2">
        <f>C25</f>
        <v>800</v>
      </c>
      <c r="Q3" s="2"/>
    </row>
    <row r="4" spans="1:18" x14ac:dyDescent="0.25">
      <c r="A4" s="4"/>
      <c r="B4" s="2" t="s">
        <v>73</v>
      </c>
      <c r="C4" s="2">
        <v>40</v>
      </c>
      <c r="D4" s="36">
        <f>('Listopad - wydatki'!$C4-'Listopad - wydatki'!$E4)</f>
        <v>0</v>
      </c>
      <c r="E4" s="5">
        <v>40</v>
      </c>
      <c r="F4" s="2"/>
      <c r="G4" s="4"/>
      <c r="H4" s="2" t="s">
        <v>56</v>
      </c>
      <c r="I4" s="2">
        <v>130</v>
      </c>
      <c r="J4" s="2">
        <f>('Listopad - wydatki'!$I4-K4)</f>
        <v>130</v>
      </c>
      <c r="K4" s="5"/>
      <c r="M4" s="2" t="s">
        <v>17</v>
      </c>
      <c r="N4" s="2">
        <v>8702</v>
      </c>
      <c r="O4" s="2">
        <f>I17</f>
        <v>5686</v>
      </c>
      <c r="P4" s="2">
        <f>H25</f>
        <v>800</v>
      </c>
      <c r="Q4" s="2"/>
    </row>
    <row r="5" spans="1:18" x14ac:dyDescent="0.25">
      <c r="A5" s="4"/>
      <c r="B5" s="2" t="s">
        <v>24</v>
      </c>
      <c r="C5" s="2">
        <v>200</v>
      </c>
      <c r="D5" s="36">
        <f>'Listopad - wydatki'!$C5-E5</f>
        <v>0</v>
      </c>
      <c r="E5" s="5">
        <v>200</v>
      </c>
      <c r="F5" s="2"/>
      <c r="G5" s="4"/>
      <c r="H5" s="2" t="s">
        <v>51</v>
      </c>
      <c r="I5" s="2">
        <v>1013</v>
      </c>
      <c r="J5" s="2">
        <f>('Listopad - wydatki'!$I5-K5)</f>
        <v>1013</v>
      </c>
      <c r="K5" s="5"/>
      <c r="M5" s="2" t="s">
        <v>5</v>
      </c>
      <c r="N5" s="2">
        <f t="shared" ref="N5:P5" si="0">SUM(N3,N4)</f>
        <v>12810</v>
      </c>
      <c r="O5" s="2">
        <f t="shared" si="0"/>
        <v>8187</v>
      </c>
      <c r="P5" s="2">
        <f t="shared" si="0"/>
        <v>1600</v>
      </c>
      <c r="Q5" s="2">
        <f>C33+I38</f>
        <v>3023</v>
      </c>
    </row>
    <row r="6" spans="1:18" x14ac:dyDescent="0.25">
      <c r="A6" s="4"/>
      <c r="B6" s="2" t="s">
        <v>178</v>
      </c>
      <c r="C6" s="2">
        <v>800</v>
      </c>
      <c r="D6" s="36">
        <f>('Listopad - wydatki'!$C6-'Listopad - wydatki'!$E6)</f>
        <v>0</v>
      </c>
      <c r="E6" s="5">
        <f>238+295+114+126+27</f>
        <v>800</v>
      </c>
      <c r="F6" s="2"/>
      <c r="G6" s="4"/>
      <c r="H6" s="2" t="s">
        <v>179</v>
      </c>
      <c r="I6" s="2">
        <v>128</v>
      </c>
      <c r="J6" s="2">
        <f>('Listopad - wydatki'!$I6-K7)</f>
        <v>128</v>
      </c>
      <c r="K6" s="5"/>
      <c r="M6" s="42" t="s">
        <v>180</v>
      </c>
      <c r="N6" s="2" t="b">
        <f>C40+I42=N5</f>
        <v>1</v>
      </c>
      <c r="O6" s="2"/>
      <c r="P6" s="2"/>
      <c r="Q6" s="2"/>
    </row>
    <row r="7" spans="1:18" x14ac:dyDescent="0.25">
      <c r="A7" s="4"/>
      <c r="B7" s="2" t="s">
        <v>181</v>
      </c>
      <c r="C7" s="2">
        <v>56</v>
      </c>
      <c r="D7" s="36">
        <f>('Listopad - wydatki'!$C7-'Listopad - wydatki'!$E7)</f>
        <v>0</v>
      </c>
      <c r="E7" s="5">
        <v>56</v>
      </c>
      <c r="F7" s="2"/>
      <c r="G7" s="4"/>
      <c r="H7" s="2" t="s">
        <v>182</v>
      </c>
      <c r="I7" s="2">
        <v>65</v>
      </c>
      <c r="J7" s="2">
        <f>('Listopad - wydatki'!$I7-K8)</f>
        <v>65</v>
      </c>
      <c r="K7" s="5"/>
      <c r="L7" s="2"/>
      <c r="M7" s="2"/>
      <c r="N7" s="2">
        <f>C40+I42</f>
        <v>12810</v>
      </c>
      <c r="O7" s="2"/>
      <c r="P7" s="2"/>
      <c r="Q7" s="9"/>
    </row>
    <row r="8" spans="1:18" x14ac:dyDescent="0.25">
      <c r="A8" s="4"/>
      <c r="B8" s="2" t="s">
        <v>183</v>
      </c>
      <c r="C8" s="2">
        <v>100</v>
      </c>
      <c r="D8" s="36">
        <f>'Listopad - wydatki'!$C8-E8</f>
        <v>0</v>
      </c>
      <c r="E8" s="5">
        <f>25+14+8+53</f>
        <v>100</v>
      </c>
      <c r="F8" s="2"/>
      <c r="G8" s="4"/>
      <c r="H8" s="2" t="s">
        <v>52</v>
      </c>
      <c r="I8" s="2">
        <v>200</v>
      </c>
      <c r="J8" s="2">
        <f>('Listopad - wydatki'!$I8-K11)</f>
        <v>200</v>
      </c>
      <c r="K8" s="5"/>
      <c r="L8" s="2"/>
      <c r="M8" s="2"/>
      <c r="N8" s="2"/>
      <c r="O8" s="2"/>
      <c r="P8" s="2"/>
      <c r="Q8" s="9"/>
    </row>
    <row r="9" spans="1:18" x14ac:dyDescent="0.25">
      <c r="A9" s="4"/>
      <c r="B9" s="2" t="s">
        <v>184</v>
      </c>
      <c r="C9" s="2">
        <v>300</v>
      </c>
      <c r="D9" s="36">
        <f>('Listopad - wydatki'!$C9-'Listopad - wydatki'!$E9)</f>
        <v>0</v>
      </c>
      <c r="E9" s="5">
        <v>300</v>
      </c>
      <c r="F9" s="2"/>
      <c r="G9" s="4"/>
      <c r="H9" s="2" t="s">
        <v>54</v>
      </c>
      <c r="I9" s="2">
        <v>100</v>
      </c>
      <c r="J9" s="2">
        <f>('Listopad - wydatki'!$I9-K12)</f>
        <v>100</v>
      </c>
      <c r="K9" s="5"/>
      <c r="L9" s="2"/>
      <c r="M9" s="2"/>
      <c r="N9" s="2"/>
      <c r="O9" s="2"/>
      <c r="P9" s="2"/>
      <c r="Q9" s="9"/>
    </row>
    <row r="10" spans="1:18" x14ac:dyDescent="0.25">
      <c r="A10" s="4"/>
      <c r="B10" s="2"/>
      <c r="C10" s="2"/>
      <c r="D10" s="36"/>
      <c r="E10" s="5"/>
      <c r="F10" s="2"/>
      <c r="G10" s="4"/>
      <c r="H10" s="2" t="s">
        <v>185</v>
      </c>
      <c r="I10" s="2">
        <v>50</v>
      </c>
      <c r="J10" s="2">
        <f>('Listopad - wydatki'!$I10-K13)</f>
        <v>50</v>
      </c>
      <c r="K10" s="5"/>
      <c r="L10" s="2"/>
      <c r="M10" s="2"/>
      <c r="N10" s="2"/>
      <c r="O10" s="9"/>
      <c r="P10" s="2"/>
      <c r="Q10" s="9"/>
    </row>
    <row r="11" spans="1:18" ht="13.5" customHeight="1" x14ac:dyDescent="0.25">
      <c r="A11" s="4"/>
      <c r="B11" s="2" t="s">
        <v>48</v>
      </c>
      <c r="C11" s="2">
        <v>370</v>
      </c>
      <c r="D11" s="36">
        <f>('Listopad - wydatki'!$C11-'Listopad - wydatki'!$E11)</f>
        <v>130</v>
      </c>
      <c r="E11" s="5">
        <f>27+200+13</f>
        <v>240</v>
      </c>
      <c r="F11" s="2"/>
      <c r="G11" s="4"/>
      <c r="H11" s="2" t="s">
        <v>186</v>
      </c>
      <c r="I11" s="2">
        <v>100</v>
      </c>
      <c r="J11" s="2">
        <f>('Listopad - wydatki'!$I11-K14)</f>
        <v>100</v>
      </c>
      <c r="K11" s="5"/>
      <c r="M11" s="99" t="s">
        <v>187</v>
      </c>
      <c r="N11" s="100"/>
    </row>
    <row r="12" spans="1:18" x14ac:dyDescent="0.25">
      <c r="A12" s="4"/>
      <c r="B12" s="2" t="s">
        <v>188</v>
      </c>
      <c r="C12" s="2">
        <v>50</v>
      </c>
      <c r="D12" s="36">
        <f>('Listopad - wydatki'!$C12-'Listopad - wydatki'!$E12)</f>
        <v>50</v>
      </c>
      <c r="E12" s="5"/>
      <c r="F12" s="2"/>
      <c r="G12" s="4"/>
      <c r="H12" s="2" t="s">
        <v>189</v>
      </c>
      <c r="I12" s="2">
        <v>100</v>
      </c>
      <c r="J12" s="2">
        <f>('Listopad - wydatki'!$I12-K13)</f>
        <v>100</v>
      </c>
      <c r="K12" s="5"/>
      <c r="M12" s="2" t="s">
        <v>48</v>
      </c>
      <c r="N12" s="2">
        <v>4230</v>
      </c>
      <c r="O12" s="2"/>
      <c r="P12" s="2"/>
    </row>
    <row r="13" spans="1:18" x14ac:dyDescent="0.25">
      <c r="A13" s="4"/>
      <c r="B13" s="2" t="s">
        <v>190</v>
      </c>
      <c r="C13" s="2">
        <v>500</v>
      </c>
      <c r="D13" s="36">
        <f>('Listopad - wydatki'!$C13-'Listopad - wydatki'!$E13)</f>
        <v>0</v>
      </c>
      <c r="E13" s="5">
        <v>500</v>
      </c>
      <c r="F13" s="2"/>
      <c r="G13" s="4"/>
      <c r="H13" s="1" t="s">
        <v>191</v>
      </c>
      <c r="I13" s="9">
        <v>350</v>
      </c>
      <c r="J13" s="2">
        <f>('Listopad - wydatki'!$I13-K14)</f>
        <v>350</v>
      </c>
      <c r="K13" s="5"/>
      <c r="M13" s="43" t="s">
        <v>59</v>
      </c>
      <c r="N13" s="43">
        <f>377+146</f>
        <v>523</v>
      </c>
      <c r="O13" s="43"/>
      <c r="P13" s="43"/>
    </row>
    <row r="14" spans="1:18" x14ac:dyDescent="0.25">
      <c r="A14" s="4"/>
      <c r="B14" s="2"/>
      <c r="C14" s="2"/>
      <c r="D14" s="36"/>
      <c r="E14" s="5"/>
      <c r="F14" s="2"/>
      <c r="G14" s="4"/>
      <c r="H14" s="1" t="s">
        <v>192</v>
      </c>
      <c r="I14" s="2">
        <v>300</v>
      </c>
      <c r="J14" s="2">
        <f>('Listopad - wydatki'!$I14-K15)</f>
        <v>300</v>
      </c>
      <c r="K14" s="5"/>
      <c r="M14" s="2"/>
      <c r="N14" s="2"/>
      <c r="O14" s="2"/>
      <c r="P14" s="2"/>
      <c r="Q14" s="9"/>
    </row>
    <row r="15" spans="1:18" x14ac:dyDescent="0.25">
      <c r="A15" s="4"/>
      <c r="B15" s="2"/>
      <c r="C15" s="2"/>
      <c r="D15" s="2"/>
      <c r="E15" s="5"/>
      <c r="F15" s="2"/>
      <c r="G15" s="4"/>
      <c r="H15" s="2"/>
      <c r="I15" s="2"/>
      <c r="J15" s="2"/>
      <c r="K15" s="5"/>
      <c r="M15" s="43" t="s">
        <v>143</v>
      </c>
      <c r="N15" s="43">
        <v>0</v>
      </c>
      <c r="O15" s="43"/>
      <c r="P15" s="43"/>
      <c r="Q15" s="9"/>
    </row>
    <row r="16" spans="1:18" x14ac:dyDescent="0.25">
      <c r="A16" s="4"/>
      <c r="B16" s="2"/>
      <c r="C16" s="2"/>
      <c r="D16" s="2"/>
      <c r="E16" s="5"/>
      <c r="F16" s="2"/>
      <c r="G16" s="4"/>
      <c r="H16" s="1" t="s">
        <v>193</v>
      </c>
      <c r="I16" s="2">
        <v>50</v>
      </c>
      <c r="J16" s="2">
        <v>50</v>
      </c>
      <c r="K16" s="5"/>
      <c r="M16" s="2" t="s">
        <v>191</v>
      </c>
      <c r="N16" s="2">
        <v>700</v>
      </c>
      <c r="O16" s="2" t="s">
        <v>194</v>
      </c>
      <c r="P16" s="2"/>
      <c r="Q16" s="9"/>
    </row>
    <row r="17" spans="1:17" x14ac:dyDescent="0.25">
      <c r="A17" s="44"/>
      <c r="B17" s="45" t="s">
        <v>41</v>
      </c>
      <c r="C17" s="45">
        <f t="shared" ref="C17:E17" si="1">SUM(C3:C15)</f>
        <v>2501</v>
      </c>
      <c r="D17" s="46">
        <f t="shared" si="1"/>
        <v>180</v>
      </c>
      <c r="E17" s="47">
        <f t="shared" si="1"/>
        <v>2321</v>
      </c>
      <c r="F17" s="2"/>
      <c r="G17" s="44"/>
      <c r="H17" s="45" t="s">
        <v>41</v>
      </c>
      <c r="I17" s="45">
        <f t="shared" ref="I17:K17" si="2">SUM(I3:I16)</f>
        <v>5686</v>
      </c>
      <c r="J17" s="45">
        <f t="shared" si="2"/>
        <v>5686</v>
      </c>
      <c r="K17" s="47">
        <f t="shared" si="2"/>
        <v>0</v>
      </c>
      <c r="L17" s="9"/>
      <c r="M17" s="43" t="s">
        <v>47</v>
      </c>
      <c r="N17" s="43"/>
      <c r="O17" s="43"/>
      <c r="P17" s="43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2" t="s">
        <v>195</v>
      </c>
      <c r="N18" s="2"/>
      <c r="O18" s="2"/>
      <c r="P18" s="2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4"/>
      <c r="K19" s="48" t="s">
        <v>41</v>
      </c>
      <c r="L19" s="9"/>
      <c r="M19" s="43" t="s">
        <v>192</v>
      </c>
      <c r="N19" s="43"/>
      <c r="O19" s="43"/>
      <c r="P19" s="43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2" t="s">
        <v>13</v>
      </c>
      <c r="K20" s="49" t="s">
        <v>198</v>
      </c>
      <c r="L20" s="9"/>
      <c r="M20" s="2" t="s">
        <v>186</v>
      </c>
      <c r="N20" s="2"/>
      <c r="O20" s="2"/>
      <c r="P20" s="2"/>
      <c r="Q20" s="9"/>
    </row>
    <row r="21" spans="1:17" ht="15.75" customHeight="1" x14ac:dyDescent="0.25">
      <c r="A21" s="4"/>
      <c r="B21" s="2" t="s">
        <v>199</v>
      </c>
      <c r="C21" s="2">
        <v>200</v>
      </c>
      <c r="D21" s="36">
        <f t="shared" ref="D21:D24" si="3">(C21-E21)</f>
        <v>-2.8421709430404007E-14</v>
      </c>
      <c r="E21" s="5">
        <f>25.39+7.49+72.89+34.77+31.43+9+19.03</f>
        <v>200.00000000000003</v>
      </c>
      <c r="F21" s="2"/>
      <c r="G21" s="4" t="s">
        <v>199</v>
      </c>
      <c r="H21" s="2">
        <v>200</v>
      </c>
      <c r="I21" s="2">
        <f t="shared" ref="I21:I24" si="4">(H21-J21)</f>
        <v>200</v>
      </c>
      <c r="J21" s="2">
        <v>0</v>
      </c>
      <c r="K21" s="50">
        <f>('Listopad - wydatki'!$D21+'Listopad - wydatki'!$I21)</f>
        <v>199.99999999999997</v>
      </c>
      <c r="L21" s="9"/>
      <c r="M21" s="43" t="s">
        <v>61</v>
      </c>
      <c r="N21" s="43">
        <f>1919+175</f>
        <v>2094</v>
      </c>
      <c r="O21" s="43"/>
      <c r="P21" s="43"/>
    </row>
    <row r="22" spans="1:17" ht="15.75" customHeight="1" x14ac:dyDescent="0.25">
      <c r="A22" s="4"/>
      <c r="B22" s="2" t="s">
        <v>200</v>
      </c>
      <c r="C22" s="2">
        <v>200</v>
      </c>
      <c r="D22" s="36">
        <f t="shared" si="3"/>
        <v>0</v>
      </c>
      <c r="E22" s="5">
        <f>38.2+40.82+7+113.98</f>
        <v>200</v>
      </c>
      <c r="F22" s="2"/>
      <c r="G22" s="4" t="s">
        <v>200</v>
      </c>
      <c r="H22" s="2">
        <v>200</v>
      </c>
      <c r="I22" s="2">
        <f t="shared" si="4"/>
        <v>200</v>
      </c>
      <c r="J22" s="2">
        <f t="shared" ref="J22:J24" si="5">(0)</f>
        <v>0</v>
      </c>
      <c r="K22" s="51">
        <f>('Listopad - wydatki'!$D22+'Listopad - wydatki'!$I22)</f>
        <v>200</v>
      </c>
      <c r="L22" s="9"/>
      <c r="M22" s="52"/>
      <c r="N22" s="52"/>
      <c r="O22" s="52"/>
      <c r="P22" s="52"/>
    </row>
    <row r="23" spans="1:17" ht="15.75" customHeight="1" x14ac:dyDescent="0.25">
      <c r="A23" s="4"/>
      <c r="B23" s="2" t="s">
        <v>201</v>
      </c>
      <c r="C23" s="2">
        <v>200</v>
      </c>
      <c r="D23" s="36">
        <f t="shared" si="3"/>
        <v>0</v>
      </c>
      <c r="E23" s="5">
        <f>128+69+3</f>
        <v>200</v>
      </c>
      <c r="F23" s="2"/>
      <c r="G23" s="4" t="s">
        <v>201</v>
      </c>
      <c r="H23" s="2">
        <v>200</v>
      </c>
      <c r="I23" s="2">
        <f t="shared" si="4"/>
        <v>200</v>
      </c>
      <c r="J23" s="2">
        <f t="shared" si="5"/>
        <v>0</v>
      </c>
      <c r="K23" s="50">
        <f>('Listopad - wydatki'!$D23+'Listopad - wydatki'!$I23)</f>
        <v>200</v>
      </c>
      <c r="L23" s="9"/>
      <c r="M23" s="9"/>
    </row>
    <row r="24" spans="1:17" ht="15.75" customHeight="1" x14ac:dyDescent="0.25">
      <c r="A24" s="4"/>
      <c r="B24" s="2" t="s">
        <v>202</v>
      </c>
      <c r="C24" s="2">
        <v>200</v>
      </c>
      <c r="D24" s="36">
        <f t="shared" si="3"/>
        <v>0</v>
      </c>
      <c r="E24" s="5">
        <f>166+21+4.64+6.02+2.34</f>
        <v>200</v>
      </c>
      <c r="F24" s="2"/>
      <c r="G24" s="4" t="s">
        <v>202</v>
      </c>
      <c r="H24" s="2">
        <v>200</v>
      </c>
      <c r="I24" s="2">
        <f t="shared" si="4"/>
        <v>200</v>
      </c>
      <c r="J24" s="2">
        <f t="shared" si="5"/>
        <v>0</v>
      </c>
      <c r="K24" s="51">
        <f>('Listopad - wydatki'!$D24+'Listopad - wydatki'!$I24)</f>
        <v>200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800</v>
      </c>
      <c r="D25" s="46">
        <f>SUM(D21:D24)</f>
        <v>-2.8421709430404007E-14</v>
      </c>
      <c r="E25" s="47"/>
      <c r="F25" s="2"/>
      <c r="G25" s="44" t="s">
        <v>203</v>
      </c>
      <c r="H25" s="45">
        <f t="shared" ref="H25:J25" si="6">SUM(H21:H24)</f>
        <v>800</v>
      </c>
      <c r="I25" s="45">
        <f t="shared" si="6"/>
        <v>800</v>
      </c>
      <c r="J25" s="45">
        <f t="shared" si="6"/>
        <v>0</v>
      </c>
      <c r="K25" s="53">
        <f>('Listopad - wydatki'!$D25+'Listopad - wydatki'!$I25)</f>
        <v>800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 t="s">
        <v>206</v>
      </c>
      <c r="C29" s="2">
        <v>30</v>
      </c>
      <c r="D29" s="2">
        <v>0</v>
      </c>
      <c r="E29" s="5">
        <v>30</v>
      </c>
      <c r="F29" s="2"/>
      <c r="G29" s="4"/>
      <c r="H29" s="2" t="s">
        <v>207</v>
      </c>
      <c r="I29" s="2">
        <v>20</v>
      </c>
      <c r="J29" s="2">
        <f>'Listopad - wydatki'!$I29-K29</f>
        <v>20</v>
      </c>
      <c r="K29" s="5">
        <f t="shared" ref="K29:K30" si="7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'Listopad - wydatki'!$C30-E30</f>
        <v>0</v>
      </c>
      <c r="E30" s="5">
        <v>500</v>
      </c>
      <c r="F30" s="2"/>
      <c r="G30" s="4"/>
      <c r="H30" s="2" t="s">
        <v>208</v>
      </c>
      <c r="I30" s="2">
        <v>900</v>
      </c>
      <c r="J30" s="2">
        <f>'Listopad - wydatki'!$I30-K30</f>
        <v>900</v>
      </c>
      <c r="K30" s="5">
        <f t="shared" si="7"/>
        <v>0</v>
      </c>
      <c r="L30" s="9"/>
      <c r="M30" s="9"/>
    </row>
    <row r="31" spans="1:17" ht="15.75" customHeight="1" x14ac:dyDescent="0.25">
      <c r="A31" s="4"/>
      <c r="B31" s="2" t="s">
        <v>209</v>
      </c>
      <c r="C31" s="2">
        <v>200</v>
      </c>
      <c r="D31" s="2">
        <f>'Listopad - wydatki'!$C31-'Listopad - wydatki'!$E31</f>
        <v>0</v>
      </c>
      <c r="E31" s="2">
        <v>200</v>
      </c>
      <c r="F31" s="2"/>
      <c r="G31" s="4"/>
      <c r="H31" s="2" t="s">
        <v>210</v>
      </c>
      <c r="I31" s="2">
        <v>82</v>
      </c>
      <c r="J31" s="2">
        <v>82</v>
      </c>
      <c r="K31" s="5"/>
      <c r="L31" s="9"/>
      <c r="M31" s="9"/>
    </row>
    <row r="32" spans="1:17" ht="15.75" customHeight="1" x14ac:dyDescent="0.25">
      <c r="A32" s="4"/>
      <c r="B32" s="2" t="s">
        <v>211</v>
      </c>
      <c r="C32" s="2">
        <v>100</v>
      </c>
      <c r="D32" s="2">
        <f>'Listopad - wydatki'!$C32-'Listopad - wydatki'!$E32</f>
        <v>0</v>
      </c>
      <c r="E32" s="5">
        <v>100</v>
      </c>
      <c r="F32" s="2"/>
      <c r="G32" s="4"/>
      <c r="H32" s="2" t="s">
        <v>212</v>
      </c>
      <c r="I32" s="2">
        <v>50</v>
      </c>
      <c r="J32" s="2">
        <f>'Listopad - wydatki'!$I32-K32</f>
        <v>50</v>
      </c>
      <c r="K32" s="5">
        <v>0</v>
      </c>
    </row>
    <row r="33" spans="1:11" ht="15.75" customHeight="1" x14ac:dyDescent="0.25">
      <c r="A33" s="44"/>
      <c r="B33" s="45" t="s">
        <v>203</v>
      </c>
      <c r="C33" s="45">
        <f t="shared" ref="C33:E33" si="8">SUM(C29:C32)</f>
        <v>830</v>
      </c>
      <c r="D33" s="45">
        <f t="shared" si="8"/>
        <v>0</v>
      </c>
      <c r="E33" s="45">
        <f t="shared" si="8"/>
        <v>830</v>
      </c>
      <c r="F33" s="2"/>
      <c r="G33" s="4"/>
      <c r="H33" s="2" t="s">
        <v>213</v>
      </c>
      <c r="I33" s="2">
        <v>500</v>
      </c>
      <c r="J33" s="2">
        <f>'Listopad - wydatki'!$I33-K33</f>
        <v>500</v>
      </c>
      <c r="K33" s="5">
        <v>0</v>
      </c>
    </row>
    <row r="34" spans="1:11" ht="15.75" customHeight="1" x14ac:dyDescent="0.25">
      <c r="A34" s="2"/>
      <c r="B34" s="2"/>
      <c r="C34" s="2"/>
      <c r="D34" s="2"/>
      <c r="E34" s="2"/>
      <c r="F34" s="2"/>
      <c r="G34" s="4"/>
      <c r="H34" s="2" t="s">
        <v>214</v>
      </c>
      <c r="I34" s="2">
        <v>100</v>
      </c>
      <c r="J34" s="2">
        <v>100</v>
      </c>
      <c r="K34" s="5"/>
    </row>
    <row r="35" spans="1:11" ht="15.75" customHeight="1" x14ac:dyDescent="0.25">
      <c r="A35" s="2"/>
      <c r="B35" s="2"/>
      <c r="C35" s="2"/>
      <c r="D35" s="2"/>
      <c r="E35" s="2"/>
      <c r="F35" s="2"/>
      <c r="G35" s="1"/>
      <c r="H35" s="1" t="s">
        <v>215</v>
      </c>
      <c r="I35" s="1">
        <v>100</v>
      </c>
      <c r="J35" s="1">
        <v>100</v>
      </c>
      <c r="K35" s="5"/>
    </row>
    <row r="36" spans="1:11" ht="15.75" customHeight="1" x14ac:dyDescent="0.25">
      <c r="A36" s="2"/>
      <c r="B36" s="2"/>
      <c r="C36" s="2"/>
      <c r="D36" s="2"/>
      <c r="E36" s="2"/>
      <c r="F36" s="2"/>
      <c r="G36" s="4"/>
      <c r="H36" s="2" t="s">
        <v>216</v>
      </c>
      <c r="I36" s="2">
        <v>124</v>
      </c>
      <c r="J36" s="2">
        <v>124</v>
      </c>
      <c r="K36" s="5"/>
    </row>
    <row r="37" spans="1:11" ht="15.75" customHeight="1" x14ac:dyDescent="0.25">
      <c r="A37" s="2"/>
      <c r="B37" s="34"/>
      <c r="C37" s="2"/>
      <c r="D37" s="2"/>
      <c r="E37" s="2"/>
      <c r="F37" s="2"/>
      <c r="G37" s="4"/>
      <c r="H37" s="2" t="s">
        <v>59</v>
      </c>
      <c r="I37" s="2">
        <v>317</v>
      </c>
      <c r="J37" s="2">
        <f>'Listopad - wydatki'!$I37-K37</f>
        <v>317</v>
      </c>
      <c r="K37" s="5">
        <v>0</v>
      </c>
    </row>
    <row r="38" spans="1:11" ht="15.75" customHeight="1" x14ac:dyDescent="0.25">
      <c r="A38" s="98" t="s">
        <v>217</v>
      </c>
      <c r="B38" s="96"/>
      <c r="C38" s="96"/>
      <c r="D38" s="96"/>
      <c r="E38" s="97"/>
      <c r="F38" s="2"/>
      <c r="G38" s="44"/>
      <c r="H38" s="45" t="s">
        <v>203</v>
      </c>
      <c r="I38" s="45">
        <f t="shared" ref="I38:K38" si="9">SUM(I29:I37)</f>
        <v>2193</v>
      </c>
      <c r="J38" s="45">
        <f t="shared" si="9"/>
        <v>2193</v>
      </c>
      <c r="K38" s="45">
        <f t="shared" si="9"/>
        <v>0</v>
      </c>
    </row>
    <row r="39" spans="1:11" ht="15.75" customHeight="1" x14ac:dyDescent="0.25">
      <c r="A39" s="4"/>
      <c r="B39" s="2"/>
      <c r="C39" s="2" t="s">
        <v>11</v>
      </c>
      <c r="D39" s="2" t="s">
        <v>12</v>
      </c>
      <c r="E39" s="5" t="s">
        <v>13</v>
      </c>
      <c r="F39" s="2"/>
      <c r="G39" s="2"/>
      <c r="H39" s="2"/>
      <c r="I39" s="2"/>
      <c r="J39" s="2"/>
      <c r="K39" s="2"/>
    </row>
    <row r="40" spans="1:11" ht="15.75" customHeight="1" x14ac:dyDescent="0.25">
      <c r="A40" s="44"/>
      <c r="B40" s="45"/>
      <c r="C40" s="45">
        <f t="shared" ref="C40:F40" si="10">C17+C25+C33</f>
        <v>4131</v>
      </c>
      <c r="D40" s="46">
        <f t="shared" si="10"/>
        <v>179.99999999999997</v>
      </c>
      <c r="E40" s="47">
        <f t="shared" si="10"/>
        <v>3151</v>
      </c>
      <c r="F40" s="2">
        <f t="shared" si="10"/>
        <v>0</v>
      </c>
      <c r="G40" s="95" t="s">
        <v>218</v>
      </c>
      <c r="H40" s="96"/>
      <c r="I40" s="96"/>
      <c r="J40" s="96"/>
      <c r="K40" s="97"/>
    </row>
    <row r="41" spans="1:11" ht="15.75" customHeight="1" x14ac:dyDescent="0.25">
      <c r="G41" s="4"/>
      <c r="H41" s="2"/>
      <c r="I41" s="2" t="s">
        <v>11</v>
      </c>
      <c r="J41" s="2" t="s">
        <v>12</v>
      </c>
      <c r="K41" s="5" t="s">
        <v>13</v>
      </c>
    </row>
    <row r="42" spans="1:11" ht="15.75" customHeight="1" x14ac:dyDescent="0.25">
      <c r="D42" s="1"/>
      <c r="G42" s="44"/>
      <c r="H42" s="45"/>
      <c r="I42" s="45">
        <f t="shared" ref="I42:K42" si="11">I17+H25+I38</f>
        <v>8679</v>
      </c>
      <c r="J42" s="45">
        <f t="shared" si="11"/>
        <v>8679</v>
      </c>
      <c r="K42" s="47">
        <f t="shared" si="11"/>
        <v>0</v>
      </c>
    </row>
    <row r="43" spans="1:11" ht="15.75" customHeight="1" x14ac:dyDescent="0.25">
      <c r="D43" s="1"/>
    </row>
    <row r="44" spans="1:11" ht="15.75" customHeight="1" x14ac:dyDescent="0.25"/>
    <row r="45" spans="1:11" ht="15.75" customHeight="1" x14ac:dyDescent="0.25">
      <c r="A45" s="1"/>
      <c r="B45" s="1"/>
    </row>
    <row r="46" spans="1:11" ht="15.75" customHeight="1" x14ac:dyDescent="0.25">
      <c r="A46" s="1"/>
      <c r="B46" s="1"/>
      <c r="D46" s="1" t="s">
        <v>219</v>
      </c>
      <c r="E46" s="1" t="s">
        <v>220</v>
      </c>
    </row>
    <row r="47" spans="1:11" ht="15.75" customHeight="1" x14ac:dyDescent="0.25">
      <c r="A47" s="1"/>
      <c r="B47" s="1"/>
    </row>
    <row r="48" spans="1:11" ht="15.75" customHeight="1" x14ac:dyDescent="0.25">
      <c r="A48" s="1"/>
      <c r="B48" s="1"/>
    </row>
    <row r="49" spans="1:2" ht="15.75" customHeight="1" x14ac:dyDescent="0.25">
      <c r="A49" s="1"/>
      <c r="B49" s="1"/>
    </row>
    <row r="50" spans="1:2" ht="15.75" customHeight="1" x14ac:dyDescent="0.25"/>
    <row r="51" spans="1:2" ht="15.75" customHeight="1" x14ac:dyDescent="0.25"/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38:E38"/>
    <mergeCell ref="G40:K40"/>
    <mergeCell ref="A1:E1"/>
    <mergeCell ref="G1:K1"/>
    <mergeCell ref="M11:N1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9.140625" customWidth="1"/>
    <col min="14" max="15" width="12" customWidth="1"/>
    <col min="16" max="16" width="22.5703125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4" t="s">
        <v>171</v>
      </c>
      <c r="B2" s="2" t="s">
        <v>10</v>
      </c>
      <c r="C2" s="2" t="s">
        <v>11</v>
      </c>
      <c r="D2" s="2" t="s">
        <v>12</v>
      </c>
      <c r="E2" s="5" t="s">
        <v>13</v>
      </c>
      <c r="F2" s="2"/>
      <c r="G2" s="4" t="s">
        <v>171</v>
      </c>
      <c r="H2" s="2" t="s">
        <v>10</v>
      </c>
      <c r="I2" s="2" t="s">
        <v>11</v>
      </c>
      <c r="J2" s="2" t="s">
        <v>12</v>
      </c>
      <c r="K2" s="5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4"/>
      <c r="B3" s="2" t="s">
        <v>176</v>
      </c>
      <c r="C3" s="2">
        <v>85</v>
      </c>
      <c r="D3" s="36">
        <f>('Październik - wydatki'!$C3-'Październik - wydatki'!$E3)</f>
        <v>0</v>
      </c>
      <c r="E3" s="5">
        <v>85</v>
      </c>
      <c r="F3" s="2"/>
      <c r="G3" s="4"/>
      <c r="H3" s="2" t="s">
        <v>177</v>
      </c>
      <c r="I3" s="2">
        <v>3100</v>
      </c>
      <c r="J3" s="2">
        <f>('Październik - wydatki'!$I3-K3)</f>
        <v>3100</v>
      </c>
      <c r="K3" s="5"/>
      <c r="M3" s="2" t="s">
        <v>14</v>
      </c>
      <c r="N3" s="2">
        <v>4327</v>
      </c>
      <c r="O3" s="2">
        <f>C17</f>
        <v>2389</v>
      </c>
      <c r="P3" s="2">
        <f>C25</f>
        <v>800</v>
      </c>
      <c r="Q3" s="2"/>
    </row>
    <row r="4" spans="1:18" x14ac:dyDescent="0.25">
      <c r="A4" s="4"/>
      <c r="B4" s="2" t="s">
        <v>73</v>
      </c>
      <c r="C4" s="2">
        <v>30</v>
      </c>
      <c r="D4" s="36">
        <f>('Październik - wydatki'!$C4-'Październik - wydatki'!$E4)</f>
        <v>0</v>
      </c>
      <c r="E4" s="5">
        <v>30</v>
      </c>
      <c r="F4" s="2"/>
      <c r="G4" s="4"/>
      <c r="H4" s="2" t="s">
        <v>56</v>
      </c>
      <c r="I4" s="2">
        <v>130</v>
      </c>
      <c r="J4" s="2">
        <f>('Październik - wydatki'!$I4-K4)</f>
        <v>130</v>
      </c>
      <c r="K4" s="5"/>
      <c r="M4" s="2" t="s">
        <v>17</v>
      </c>
      <c r="N4" s="2">
        <f>(6318+2200)</f>
        <v>8518</v>
      </c>
      <c r="O4" s="2">
        <f>I17</f>
        <v>6080</v>
      </c>
      <c r="P4" s="2">
        <f>H25</f>
        <v>800</v>
      </c>
      <c r="Q4" s="2"/>
    </row>
    <row r="5" spans="1:18" x14ac:dyDescent="0.25">
      <c r="A5" s="4"/>
      <c r="B5" s="2" t="s">
        <v>24</v>
      </c>
      <c r="C5" s="2">
        <v>120</v>
      </c>
      <c r="D5" s="36">
        <f>'Październik - wydatki'!$C5-E5</f>
        <v>0</v>
      </c>
      <c r="E5" s="5">
        <v>120</v>
      </c>
      <c r="F5" s="2"/>
      <c r="G5" s="4"/>
      <c r="H5" s="2" t="s">
        <v>51</v>
      </c>
      <c r="I5" s="2">
        <v>1115</v>
      </c>
      <c r="J5" s="2">
        <f>('Październik - wydatki'!$I5-K5)</f>
        <v>1115</v>
      </c>
      <c r="K5" s="5"/>
      <c r="M5" s="2" t="s">
        <v>5</v>
      </c>
      <c r="N5" s="2">
        <f t="shared" ref="N5:P5" si="0">SUM(N3,N4)</f>
        <v>12845</v>
      </c>
      <c r="O5" s="2">
        <f t="shared" si="0"/>
        <v>8469</v>
      </c>
      <c r="P5" s="2">
        <f t="shared" si="0"/>
        <v>1600</v>
      </c>
      <c r="Q5" s="2">
        <f>C33+I38</f>
        <v>2776</v>
      </c>
    </row>
    <row r="6" spans="1:18" x14ac:dyDescent="0.25">
      <c r="A6" s="4"/>
      <c r="B6" s="2" t="s">
        <v>178</v>
      </c>
      <c r="C6" s="2">
        <v>700</v>
      </c>
      <c r="D6" s="36">
        <f>('Październik - wydatki'!$C6-'Październik - wydatki'!$E6)</f>
        <v>0</v>
      </c>
      <c r="E6" s="5">
        <f>300+113+180+107</f>
        <v>700</v>
      </c>
      <c r="F6" s="2"/>
      <c r="G6" s="4"/>
      <c r="H6" s="2" t="s">
        <v>179</v>
      </c>
      <c r="I6" s="2">
        <v>128</v>
      </c>
      <c r="J6" s="2">
        <f>('Październik - wydatki'!$I6-K7)</f>
        <v>128</v>
      </c>
      <c r="K6" s="5"/>
      <c r="M6" s="42" t="s">
        <v>180</v>
      </c>
      <c r="N6" s="2" t="b">
        <f>C40+I42=N5</f>
        <v>1</v>
      </c>
      <c r="O6" s="2"/>
      <c r="P6" s="2"/>
      <c r="Q6" s="2"/>
    </row>
    <row r="7" spans="1:18" x14ac:dyDescent="0.25">
      <c r="A7" s="4"/>
      <c r="B7" s="2" t="s">
        <v>181</v>
      </c>
      <c r="C7" s="2">
        <v>56</v>
      </c>
      <c r="D7" s="36">
        <f>('Październik - wydatki'!$C7-'Październik - wydatki'!$E7)</f>
        <v>0</v>
      </c>
      <c r="E7" s="5">
        <v>56</v>
      </c>
      <c r="F7" s="2"/>
      <c r="G7" s="4"/>
      <c r="H7" s="2" t="s">
        <v>182</v>
      </c>
      <c r="I7" s="2">
        <v>65</v>
      </c>
      <c r="J7" s="2">
        <f>('Październik - wydatki'!$I7-K8)</f>
        <v>65</v>
      </c>
      <c r="K7" s="5"/>
      <c r="L7" s="2"/>
      <c r="M7" s="2"/>
      <c r="N7" s="2"/>
      <c r="O7" s="2"/>
      <c r="P7" s="2"/>
      <c r="Q7" s="9"/>
    </row>
    <row r="8" spans="1:18" x14ac:dyDescent="0.25">
      <c r="A8" s="4"/>
      <c r="B8" s="2" t="s">
        <v>183</v>
      </c>
      <c r="C8" s="2">
        <v>100</v>
      </c>
      <c r="D8" s="36">
        <f>'Październik - wydatki'!$C8-E8</f>
        <v>0</v>
      </c>
      <c r="E8" s="5">
        <f>20+10+10+5+55</f>
        <v>100</v>
      </c>
      <c r="F8" s="2"/>
      <c r="G8" s="4"/>
      <c r="H8" s="2" t="s">
        <v>52</v>
      </c>
      <c r="I8" s="2">
        <v>200</v>
      </c>
      <c r="J8" s="2">
        <f>('Październik - wydatki'!$I8-K11)</f>
        <v>200</v>
      </c>
      <c r="K8" s="5"/>
      <c r="L8" s="2"/>
      <c r="M8" s="2"/>
      <c r="N8" s="2"/>
      <c r="O8" s="2"/>
      <c r="P8" s="2"/>
      <c r="Q8" s="9"/>
    </row>
    <row r="9" spans="1:18" x14ac:dyDescent="0.25">
      <c r="A9" s="4"/>
      <c r="B9" s="2" t="s">
        <v>184</v>
      </c>
      <c r="C9" s="2">
        <v>300</v>
      </c>
      <c r="D9" s="36">
        <f>('Październik - wydatki'!$C9-'Październik - wydatki'!$E9)</f>
        <v>0</v>
      </c>
      <c r="E9" s="5">
        <v>300</v>
      </c>
      <c r="F9" s="2"/>
      <c r="G9" s="4"/>
      <c r="H9" s="2" t="s">
        <v>54</v>
      </c>
      <c r="I9" s="2">
        <v>100</v>
      </c>
      <c r="J9" s="2">
        <f>('Październik - wydatki'!$I9-K12)</f>
        <v>100</v>
      </c>
      <c r="K9" s="5"/>
      <c r="L9" s="2"/>
      <c r="M9" s="2"/>
      <c r="N9" s="2"/>
      <c r="O9" s="2"/>
      <c r="P9" s="2"/>
      <c r="Q9" s="9"/>
    </row>
    <row r="10" spans="1:18" x14ac:dyDescent="0.25">
      <c r="A10" s="4"/>
      <c r="B10" s="2" t="s">
        <v>221</v>
      </c>
      <c r="C10" s="2">
        <v>125</v>
      </c>
      <c r="D10" s="36">
        <f>'Październik - wydatki'!$C10-E10</f>
        <v>0</v>
      </c>
      <c r="E10" s="5">
        <v>125</v>
      </c>
      <c r="F10" s="2"/>
      <c r="G10" s="4"/>
      <c r="H10" s="2" t="s">
        <v>185</v>
      </c>
      <c r="I10" s="2">
        <v>50</v>
      </c>
      <c r="J10" s="2">
        <f>('Październik - wydatki'!$I10-K13)</f>
        <v>50</v>
      </c>
      <c r="K10" s="5"/>
      <c r="L10" s="2"/>
      <c r="M10" s="2"/>
      <c r="N10" s="2"/>
      <c r="O10" s="9"/>
      <c r="P10" s="2"/>
      <c r="Q10" s="9"/>
    </row>
    <row r="11" spans="1:18" ht="13.5" customHeight="1" x14ac:dyDescent="0.25">
      <c r="A11" s="4"/>
      <c r="B11" s="2" t="s">
        <v>48</v>
      </c>
      <c r="C11" s="2">
        <v>300</v>
      </c>
      <c r="D11" s="36">
        <f>('Październik - wydatki'!$C11-'Październik - wydatki'!$E11)</f>
        <v>0</v>
      </c>
      <c r="E11" s="5">
        <v>300</v>
      </c>
      <c r="F11" s="2"/>
      <c r="G11" s="4"/>
      <c r="H11" s="2" t="s">
        <v>186</v>
      </c>
      <c r="I11" s="2">
        <v>100</v>
      </c>
      <c r="J11" s="2">
        <f>('Październik - wydatki'!$I11-K14)</f>
        <v>100</v>
      </c>
      <c r="K11" s="5"/>
      <c r="M11" s="99" t="s">
        <v>187</v>
      </c>
      <c r="N11" s="100"/>
    </row>
    <row r="12" spans="1:18" x14ac:dyDescent="0.25">
      <c r="A12" s="4">
        <f>50</f>
        <v>50</v>
      </c>
      <c r="B12" s="2" t="s">
        <v>188</v>
      </c>
      <c r="C12" s="2">
        <v>50</v>
      </c>
      <c r="D12" s="36">
        <f>('Październik - wydatki'!$C12-'Październik - wydatki'!$E12)</f>
        <v>0</v>
      </c>
      <c r="E12" s="5">
        <v>50</v>
      </c>
      <c r="F12" s="2"/>
      <c r="G12" s="4"/>
      <c r="H12" s="2" t="s">
        <v>189</v>
      </c>
      <c r="I12" s="2">
        <v>100</v>
      </c>
      <c r="J12" s="2">
        <f>('Październik - wydatki'!$I12-K13)</f>
        <v>100</v>
      </c>
      <c r="K12" s="5"/>
      <c r="M12" s="2" t="s">
        <v>48</v>
      </c>
      <c r="N12" s="2">
        <v>4700</v>
      </c>
      <c r="O12" s="2" t="s">
        <v>222</v>
      </c>
      <c r="P12" s="2" t="s">
        <v>223</v>
      </c>
    </row>
    <row r="13" spans="1:18" x14ac:dyDescent="0.25">
      <c r="A13" s="4"/>
      <c r="B13" s="2" t="s">
        <v>190</v>
      </c>
      <c r="C13" s="2">
        <v>500</v>
      </c>
      <c r="D13" s="36">
        <f>('Październik - wydatki'!$C13-'Październik - wydatki'!$E13)</f>
        <v>0</v>
      </c>
      <c r="E13" s="5">
        <v>500</v>
      </c>
      <c r="F13" s="2"/>
      <c r="G13" s="4"/>
      <c r="H13" s="1" t="s">
        <v>191</v>
      </c>
      <c r="I13" s="9">
        <v>350</v>
      </c>
      <c r="J13" s="2">
        <f>('Październik - wydatki'!$I13-K14)</f>
        <v>350</v>
      </c>
      <c r="K13" s="5"/>
      <c r="M13" s="43" t="s">
        <v>59</v>
      </c>
      <c r="N13" s="43">
        <f>377+146</f>
        <v>523</v>
      </c>
      <c r="O13" s="43"/>
      <c r="P13" s="43"/>
    </row>
    <row r="14" spans="1:18" x14ac:dyDescent="0.25">
      <c r="A14" s="4"/>
      <c r="B14" s="2" t="s">
        <v>224</v>
      </c>
      <c r="C14" s="2">
        <v>23</v>
      </c>
      <c r="D14" s="36">
        <f>('Październik - wydatki'!$C14-'Październik - wydatki'!$E14)</f>
        <v>0</v>
      </c>
      <c r="E14" s="5">
        <v>23</v>
      </c>
      <c r="F14" s="2"/>
      <c r="G14" s="4"/>
      <c r="H14" s="1" t="s">
        <v>192</v>
      </c>
      <c r="I14" s="2">
        <v>300</v>
      </c>
      <c r="J14" s="2">
        <f>('Październik - wydatki'!$I14-K15)</f>
        <v>300</v>
      </c>
      <c r="K14" s="5"/>
      <c r="M14" s="2"/>
      <c r="N14" s="2"/>
      <c r="O14" s="2"/>
      <c r="P14" s="2"/>
      <c r="Q14" s="9"/>
    </row>
    <row r="15" spans="1:18" x14ac:dyDescent="0.25">
      <c r="A15" s="4"/>
      <c r="B15" s="2"/>
      <c r="C15" s="2"/>
      <c r="D15" s="2"/>
      <c r="E15" s="5"/>
      <c r="F15" s="2"/>
      <c r="G15" s="4"/>
      <c r="H15" s="2" t="s">
        <v>61</v>
      </c>
      <c r="I15" s="2">
        <v>292</v>
      </c>
      <c r="J15" s="2">
        <f>'Październik - wydatki'!$I15-K29</f>
        <v>292</v>
      </c>
      <c r="K15" s="5"/>
      <c r="M15" s="43" t="s">
        <v>143</v>
      </c>
      <c r="N15" s="43">
        <v>0</v>
      </c>
      <c r="O15" s="43"/>
      <c r="P15" s="43"/>
      <c r="Q15" s="9"/>
    </row>
    <row r="16" spans="1:18" x14ac:dyDescent="0.25">
      <c r="A16" s="4"/>
      <c r="B16" s="2"/>
      <c r="C16" s="2"/>
      <c r="D16" s="2"/>
      <c r="E16" s="5"/>
      <c r="F16" s="2"/>
      <c r="G16" s="4"/>
      <c r="H16" s="1" t="s">
        <v>193</v>
      </c>
      <c r="I16" s="2">
        <v>50</v>
      </c>
      <c r="J16" s="2">
        <v>50</v>
      </c>
      <c r="K16" s="5"/>
      <c r="M16" s="2" t="s">
        <v>191</v>
      </c>
      <c r="N16" s="2">
        <v>700</v>
      </c>
      <c r="O16" s="2" t="s">
        <v>194</v>
      </c>
      <c r="P16" s="2"/>
      <c r="Q16" s="9"/>
    </row>
    <row r="17" spans="1:17" x14ac:dyDescent="0.25">
      <c r="A17" s="44"/>
      <c r="B17" s="45" t="s">
        <v>41</v>
      </c>
      <c r="C17" s="45">
        <f t="shared" ref="C17:E17" si="1">SUM(C3:C15)</f>
        <v>2389</v>
      </c>
      <c r="D17" s="46">
        <f t="shared" si="1"/>
        <v>0</v>
      </c>
      <c r="E17" s="47">
        <f t="shared" si="1"/>
        <v>2389</v>
      </c>
      <c r="F17" s="2"/>
      <c r="G17" s="44"/>
      <c r="H17" s="45" t="s">
        <v>41</v>
      </c>
      <c r="I17" s="45">
        <f t="shared" ref="I17:K17" si="2">SUM(I3:I16)</f>
        <v>6080</v>
      </c>
      <c r="J17" s="45">
        <f t="shared" si="2"/>
        <v>6080</v>
      </c>
      <c r="K17" s="47">
        <f t="shared" si="2"/>
        <v>0</v>
      </c>
      <c r="L17" s="9"/>
      <c r="M17" s="43" t="s">
        <v>47</v>
      </c>
      <c r="N17" s="43"/>
      <c r="O17" s="43"/>
      <c r="P17" s="43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2" t="s">
        <v>195</v>
      </c>
      <c r="N18" s="2"/>
      <c r="O18" s="2"/>
      <c r="P18" s="2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4"/>
      <c r="K19" s="48" t="s">
        <v>41</v>
      </c>
      <c r="L19" s="9"/>
      <c r="M19" s="43" t="s">
        <v>192</v>
      </c>
      <c r="N19" s="43"/>
      <c r="O19" s="43"/>
      <c r="P19" s="43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2" t="s">
        <v>13</v>
      </c>
      <c r="K20" s="49" t="s">
        <v>198</v>
      </c>
      <c r="L20" s="9"/>
      <c r="M20" s="2" t="s">
        <v>186</v>
      </c>
      <c r="N20" s="2"/>
      <c r="O20" s="2"/>
      <c r="P20" s="2"/>
      <c r="Q20" s="9"/>
    </row>
    <row r="21" spans="1:17" ht="15.75" customHeight="1" x14ac:dyDescent="0.25">
      <c r="A21" s="4"/>
      <c r="B21" s="2" t="s">
        <v>199</v>
      </c>
      <c r="C21" s="2">
        <v>200</v>
      </c>
      <c r="D21" s="36">
        <f t="shared" ref="D21:D24" si="3">(C21-E21)</f>
        <v>0</v>
      </c>
      <c r="E21" s="5">
        <f>116.52+11.77+25.98+21.99-30+17.44+36.3</f>
        <v>200</v>
      </c>
      <c r="F21" s="2"/>
      <c r="G21" s="4" t="s">
        <v>199</v>
      </c>
      <c r="H21" s="2">
        <v>200</v>
      </c>
      <c r="I21" s="2">
        <f t="shared" ref="I21:I24" si="4">(H21-J21)</f>
        <v>200</v>
      </c>
      <c r="J21" s="2">
        <v>0</v>
      </c>
      <c r="K21" s="50">
        <f>('Październik - wydatki'!$D21+'Październik - wydatki'!$I21)</f>
        <v>200</v>
      </c>
      <c r="L21" s="9"/>
      <c r="M21" s="43" t="s">
        <v>61</v>
      </c>
      <c r="N21" s="43">
        <f>1919+175</f>
        <v>2094</v>
      </c>
      <c r="O21" s="43"/>
      <c r="P21" s="43"/>
    </row>
    <row r="22" spans="1:17" ht="15.75" customHeight="1" x14ac:dyDescent="0.25">
      <c r="A22" s="4"/>
      <c r="B22" s="2" t="s">
        <v>200</v>
      </c>
      <c r="C22" s="2">
        <v>200</v>
      </c>
      <c r="D22" s="36">
        <f t="shared" si="3"/>
        <v>-2.8421709430404007E-14</v>
      </c>
      <c r="E22" s="5">
        <f>2+122.66+14.16+6.78+65.42+5.99+45.72-62.73</f>
        <v>200.00000000000003</v>
      </c>
      <c r="F22" s="2"/>
      <c r="G22" s="4" t="s">
        <v>200</v>
      </c>
      <c r="H22" s="2">
        <v>200</v>
      </c>
      <c r="I22" s="2">
        <f t="shared" si="4"/>
        <v>200</v>
      </c>
      <c r="J22" s="2">
        <f t="shared" ref="J22:J24" si="5">(0)</f>
        <v>0</v>
      </c>
      <c r="K22" s="51">
        <f>('Październik - wydatki'!$D22+'Październik - wydatki'!$I22)</f>
        <v>199.99999999999997</v>
      </c>
      <c r="L22" s="9"/>
      <c r="M22" s="52"/>
      <c r="N22" s="52"/>
      <c r="O22" s="52"/>
      <c r="P22" s="52"/>
    </row>
    <row r="23" spans="1:17" ht="15.75" customHeight="1" x14ac:dyDescent="0.25">
      <c r="A23" s="4"/>
      <c r="B23" s="2" t="s">
        <v>201</v>
      </c>
      <c r="C23" s="2">
        <v>200</v>
      </c>
      <c r="D23" s="36">
        <f t="shared" si="3"/>
        <v>2.8421709430404007E-14</v>
      </c>
      <c r="E23" s="5">
        <f>62.73+100+15.42+17.15+4.7</f>
        <v>199.99999999999997</v>
      </c>
      <c r="F23" s="2"/>
      <c r="G23" s="4" t="s">
        <v>201</v>
      </c>
      <c r="H23" s="2">
        <v>200</v>
      </c>
      <c r="I23" s="2">
        <f t="shared" si="4"/>
        <v>200</v>
      </c>
      <c r="J23" s="2">
        <f t="shared" si="5"/>
        <v>0</v>
      </c>
      <c r="K23" s="50">
        <f>('Październik - wydatki'!$D23+'Październik - wydatki'!$I23)</f>
        <v>200.00000000000003</v>
      </c>
      <c r="L23" s="9"/>
      <c r="M23" s="9"/>
    </row>
    <row r="24" spans="1:17" ht="15.75" customHeight="1" x14ac:dyDescent="0.25">
      <c r="A24" s="4"/>
      <c r="B24" s="2" t="s">
        <v>202</v>
      </c>
      <c r="C24" s="2">
        <v>200</v>
      </c>
      <c r="D24" s="36">
        <f t="shared" si="3"/>
        <v>-59.45999999999998</v>
      </c>
      <c r="E24" s="5">
        <f>128.73+42.6+7.51+29.75+30.29+25.28-4.7</f>
        <v>259.45999999999998</v>
      </c>
      <c r="F24" s="2"/>
      <c r="G24" s="4" t="s">
        <v>202</v>
      </c>
      <c r="H24" s="2">
        <v>200</v>
      </c>
      <c r="I24" s="2">
        <f t="shared" si="4"/>
        <v>200</v>
      </c>
      <c r="J24" s="2">
        <f t="shared" si="5"/>
        <v>0</v>
      </c>
      <c r="K24" s="51">
        <f>('Październik - wydatki'!$D24+'Październik - wydatki'!$I24)</f>
        <v>140.54000000000002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800</v>
      </c>
      <c r="D25" s="46">
        <f t="shared" ref="D25:E25" si="6">SUM(D21:D24)</f>
        <v>-59.45999999999998</v>
      </c>
      <c r="E25" s="47">
        <f t="shared" si="6"/>
        <v>859.46</v>
      </c>
      <c r="F25" s="2"/>
      <c r="G25" s="44" t="s">
        <v>203</v>
      </c>
      <c r="H25" s="45">
        <f t="shared" ref="H25:J25" si="7">SUM(H21:H24)</f>
        <v>800</v>
      </c>
      <c r="I25" s="45">
        <f t="shared" si="7"/>
        <v>800</v>
      </c>
      <c r="J25" s="45">
        <f t="shared" si="7"/>
        <v>0</v>
      </c>
      <c r="K25" s="53">
        <f>('Październik - wydatki'!$D25+'Październik - wydatki'!$I25)</f>
        <v>740.54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/>
      <c r="C29" s="2"/>
      <c r="D29" s="2"/>
      <c r="E29" s="5"/>
      <c r="F29" s="2"/>
      <c r="G29" s="4"/>
      <c r="H29" s="2" t="s">
        <v>207</v>
      </c>
      <c r="I29" s="2">
        <v>20</v>
      </c>
      <c r="J29" s="2">
        <f>'Październik - wydatki'!$I29-K29</f>
        <v>20</v>
      </c>
      <c r="K29" s="5">
        <f t="shared" ref="K29:K31" si="8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'Październik - wydatki'!$C30-E30</f>
        <v>0</v>
      </c>
      <c r="E30" s="5">
        <v>500</v>
      </c>
      <c r="F30" s="2"/>
      <c r="G30" s="4"/>
      <c r="H30" s="2" t="s">
        <v>208</v>
      </c>
      <c r="I30" s="2">
        <v>500</v>
      </c>
      <c r="J30" s="2">
        <f>'Październik - wydatki'!$I30-K30</f>
        <v>500</v>
      </c>
      <c r="K30" s="5">
        <f t="shared" si="8"/>
        <v>0</v>
      </c>
      <c r="L30" s="9"/>
      <c r="M30" s="9"/>
    </row>
    <row r="31" spans="1:17" ht="15.75" customHeight="1" x14ac:dyDescent="0.25">
      <c r="A31" s="4"/>
      <c r="B31" s="9" t="s">
        <v>225</v>
      </c>
      <c r="C31" s="9">
        <v>400</v>
      </c>
      <c r="D31" s="2">
        <f>'Październik - wydatki'!$C31-E31</f>
        <v>0</v>
      </c>
      <c r="E31" s="5">
        <v>400</v>
      </c>
      <c r="F31" s="2"/>
      <c r="G31" s="4"/>
      <c r="H31" s="2" t="s">
        <v>226</v>
      </c>
      <c r="I31" s="2">
        <v>446</v>
      </c>
      <c r="J31" s="2">
        <f>'Październik - wydatki'!$I31-K31</f>
        <v>446</v>
      </c>
      <c r="K31" s="5">
        <f t="shared" si="8"/>
        <v>0</v>
      </c>
      <c r="L31" s="9"/>
      <c r="M31" s="9"/>
    </row>
    <row r="32" spans="1:17" ht="15.75" customHeight="1" x14ac:dyDescent="0.25">
      <c r="A32" s="4"/>
      <c r="B32" s="2"/>
      <c r="C32" s="2"/>
      <c r="D32" s="2"/>
      <c r="E32" s="5"/>
      <c r="F32" s="2"/>
      <c r="G32" s="4"/>
      <c r="H32" s="2" t="s">
        <v>212</v>
      </c>
      <c r="I32" s="2">
        <v>50</v>
      </c>
      <c r="J32" s="2">
        <f>'Październik - wydatki'!$I32-K32</f>
        <v>50</v>
      </c>
      <c r="K32" s="5">
        <v>0</v>
      </c>
    </row>
    <row r="33" spans="1:11" ht="15.75" customHeight="1" x14ac:dyDescent="0.25">
      <c r="A33" s="44"/>
      <c r="B33" s="45" t="s">
        <v>203</v>
      </c>
      <c r="C33" s="45">
        <f t="shared" ref="C33:E33" si="9">SUM(C29:C32)</f>
        <v>900</v>
      </c>
      <c r="D33" s="45">
        <f t="shared" si="9"/>
        <v>0</v>
      </c>
      <c r="E33" s="45">
        <f t="shared" si="9"/>
        <v>900</v>
      </c>
      <c r="F33" s="2"/>
      <c r="G33" s="4"/>
      <c r="H33" s="2" t="s">
        <v>213</v>
      </c>
      <c r="I33" s="2">
        <v>500</v>
      </c>
      <c r="J33" s="2">
        <f>'Październik - wydatki'!$I33-K33</f>
        <v>500</v>
      </c>
      <c r="K33" s="5">
        <v>0</v>
      </c>
    </row>
    <row r="34" spans="1:11" ht="15.75" customHeight="1" x14ac:dyDescent="0.25">
      <c r="A34" s="2"/>
      <c r="B34" s="2"/>
      <c r="C34" s="2"/>
      <c r="D34" s="2"/>
      <c r="E34" s="2"/>
      <c r="F34" s="2"/>
      <c r="G34" s="4"/>
      <c r="H34" s="2" t="s">
        <v>227</v>
      </c>
      <c r="I34" s="2">
        <v>60</v>
      </c>
      <c r="J34" s="2">
        <f>'Październik - wydatki'!$I34-K34</f>
        <v>60</v>
      </c>
      <c r="K34" s="5"/>
    </row>
    <row r="35" spans="1:11" ht="15.75" customHeight="1" x14ac:dyDescent="0.25">
      <c r="A35" s="2"/>
      <c r="B35" s="2"/>
      <c r="C35" s="2"/>
      <c r="D35" s="2"/>
      <c r="E35" s="2"/>
      <c r="F35" s="2"/>
      <c r="G35" s="4"/>
      <c r="H35" s="2" t="s">
        <v>228</v>
      </c>
      <c r="I35" s="2">
        <v>150</v>
      </c>
      <c r="J35" s="2">
        <f>'Październik - wydatki'!$I35-K35</f>
        <v>150</v>
      </c>
      <c r="K35" s="5"/>
    </row>
    <row r="36" spans="1:11" ht="15.75" customHeight="1" x14ac:dyDescent="0.25">
      <c r="A36" s="2"/>
      <c r="B36" s="2"/>
      <c r="C36" s="2"/>
      <c r="D36" s="2"/>
      <c r="E36" s="2"/>
      <c r="F36" s="2"/>
      <c r="G36" s="4"/>
      <c r="H36" s="2"/>
      <c r="I36" s="2"/>
      <c r="J36" s="2"/>
      <c r="K36" s="5"/>
    </row>
    <row r="37" spans="1:11" ht="15.75" customHeight="1" x14ac:dyDescent="0.25">
      <c r="A37" s="2"/>
      <c r="B37" s="34"/>
      <c r="C37" s="2"/>
      <c r="D37" s="2"/>
      <c r="E37" s="2"/>
      <c r="F37" s="2"/>
      <c r="G37" s="4"/>
      <c r="H37" s="2" t="s">
        <v>59</v>
      </c>
      <c r="I37" s="2">
        <v>150</v>
      </c>
      <c r="J37" s="2">
        <f>'Październik - wydatki'!$I37-K37</f>
        <v>150</v>
      </c>
      <c r="K37" s="5">
        <v>0</v>
      </c>
    </row>
    <row r="38" spans="1:11" ht="15.75" customHeight="1" x14ac:dyDescent="0.25">
      <c r="A38" s="98" t="s">
        <v>217</v>
      </c>
      <c r="B38" s="96"/>
      <c r="C38" s="96"/>
      <c r="D38" s="96"/>
      <c r="E38" s="97"/>
      <c r="F38" s="2"/>
      <c r="G38" s="44"/>
      <c r="H38" s="45" t="s">
        <v>203</v>
      </c>
      <c r="I38" s="45">
        <f t="shared" ref="I38:K38" si="10">SUM(I29:I37)</f>
        <v>1876</v>
      </c>
      <c r="J38" s="45">
        <f t="shared" si="10"/>
        <v>1876</v>
      </c>
      <c r="K38" s="45">
        <f t="shared" si="10"/>
        <v>0</v>
      </c>
    </row>
    <row r="39" spans="1:11" ht="15.75" customHeight="1" x14ac:dyDescent="0.25">
      <c r="A39" s="4"/>
      <c r="B39" s="2"/>
      <c r="C39" s="2" t="s">
        <v>11</v>
      </c>
      <c r="D39" s="2" t="s">
        <v>12</v>
      </c>
      <c r="E39" s="5" t="s">
        <v>13</v>
      </c>
      <c r="F39" s="2"/>
      <c r="G39" s="2"/>
      <c r="H39" s="2"/>
      <c r="I39" s="2"/>
      <c r="J39" s="2"/>
      <c r="K39" s="2"/>
    </row>
    <row r="40" spans="1:11" ht="15.75" customHeight="1" x14ac:dyDescent="0.25">
      <c r="A40" s="44"/>
      <c r="B40" s="45"/>
      <c r="C40" s="45">
        <f t="shared" ref="C40:F40" si="11">C17+C25+C33</f>
        <v>4089</v>
      </c>
      <c r="D40" s="46">
        <f t="shared" si="11"/>
        <v>-59.45999999999998</v>
      </c>
      <c r="E40" s="47">
        <f t="shared" si="11"/>
        <v>4148.46</v>
      </c>
      <c r="F40" s="2">
        <f t="shared" si="11"/>
        <v>0</v>
      </c>
      <c r="G40" s="95" t="s">
        <v>218</v>
      </c>
      <c r="H40" s="96"/>
      <c r="I40" s="96"/>
      <c r="J40" s="96"/>
      <c r="K40" s="97"/>
    </row>
    <row r="41" spans="1:11" ht="15.75" customHeight="1" x14ac:dyDescent="0.25">
      <c r="G41" s="4"/>
      <c r="H41" s="2"/>
      <c r="I41" s="2" t="s">
        <v>11</v>
      </c>
      <c r="J41" s="2" t="s">
        <v>12</v>
      </c>
      <c r="K41" s="5" t="s">
        <v>13</v>
      </c>
    </row>
    <row r="42" spans="1:11" ht="15.75" customHeight="1" x14ac:dyDescent="0.25">
      <c r="G42" s="44"/>
      <c r="H42" s="45"/>
      <c r="I42" s="45">
        <f t="shared" ref="I42:K42" si="12">I17+H25+I38</f>
        <v>8756</v>
      </c>
      <c r="J42" s="45">
        <f t="shared" si="12"/>
        <v>8756</v>
      </c>
      <c r="K42" s="47">
        <f t="shared" si="12"/>
        <v>0</v>
      </c>
    </row>
    <row r="43" spans="1:11" ht="15.75" customHeight="1" x14ac:dyDescent="0.25"/>
    <row r="44" spans="1:11" ht="15.75" customHeight="1" x14ac:dyDescent="0.25"/>
    <row r="45" spans="1:11" ht="15.75" customHeight="1" x14ac:dyDescent="0.25">
      <c r="A45" s="1" t="s">
        <v>229</v>
      </c>
      <c r="B45" s="1">
        <v>1919</v>
      </c>
    </row>
    <row r="46" spans="1:11" ht="15.75" customHeight="1" x14ac:dyDescent="0.25">
      <c r="A46" s="1" t="s">
        <v>230</v>
      </c>
      <c r="B46" s="1">
        <v>47</v>
      </c>
    </row>
    <row r="47" spans="1:11" ht="15.75" customHeight="1" x14ac:dyDescent="0.25">
      <c r="A47" s="1" t="s">
        <v>231</v>
      </c>
      <c r="B47" s="1">
        <v>400</v>
      </c>
    </row>
    <row r="48" spans="1:11" ht="15.75" customHeight="1" x14ac:dyDescent="0.25">
      <c r="A48" s="1" t="s">
        <v>232</v>
      </c>
      <c r="B48" s="1">
        <v>300</v>
      </c>
    </row>
    <row r="49" spans="1:2" ht="15.75" customHeight="1" x14ac:dyDescent="0.25">
      <c r="A49" s="1" t="s">
        <v>39</v>
      </c>
      <c r="B49" s="1">
        <v>700</v>
      </c>
    </row>
    <row r="50" spans="1:2" ht="15.75" customHeight="1" x14ac:dyDescent="0.25"/>
    <row r="51" spans="1:2" ht="15.75" customHeight="1" x14ac:dyDescent="0.25"/>
    <row r="52" spans="1:2" ht="15.75" customHeight="1" x14ac:dyDescent="0.25"/>
    <row r="53" spans="1:2" ht="15.75" customHeight="1" x14ac:dyDescent="0.25"/>
    <row r="54" spans="1:2" ht="15.75" customHeight="1" x14ac:dyDescent="0.25"/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38:E38"/>
    <mergeCell ref="G40:K40"/>
    <mergeCell ref="A1:E1"/>
    <mergeCell ref="G1:K1"/>
    <mergeCell ref="M11:N1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9.140625" customWidth="1"/>
    <col min="14" max="16" width="12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4" t="s">
        <v>171</v>
      </c>
      <c r="B2" s="2" t="s">
        <v>10</v>
      </c>
      <c r="C2" s="2" t="s">
        <v>11</v>
      </c>
      <c r="D2" s="2" t="s">
        <v>12</v>
      </c>
      <c r="E2" s="5" t="s">
        <v>13</v>
      </c>
      <c r="F2" s="2"/>
      <c r="G2" s="4" t="s">
        <v>171</v>
      </c>
      <c r="H2" s="2" t="s">
        <v>10</v>
      </c>
      <c r="I2" s="2" t="s">
        <v>11</v>
      </c>
      <c r="J2" s="2" t="s">
        <v>12</v>
      </c>
      <c r="K2" s="5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4"/>
      <c r="B3" s="2" t="s">
        <v>176</v>
      </c>
      <c r="C3" s="2">
        <v>85</v>
      </c>
      <c r="D3" s="2">
        <f>('Wrzesień - wydatki'!$C3-'Wrzesień - wydatki'!$E3)</f>
        <v>0</v>
      </c>
      <c r="E3" s="5">
        <v>85</v>
      </c>
      <c r="F3" s="2"/>
      <c r="G3" s="4"/>
      <c r="H3" s="2" t="s">
        <v>177</v>
      </c>
      <c r="I3" s="2">
        <v>3100</v>
      </c>
      <c r="J3" s="2">
        <f>('Wrzesień - wydatki'!$I3-K3)</f>
        <v>3100</v>
      </c>
      <c r="K3" s="5">
        <f>(0)</f>
        <v>0</v>
      </c>
      <c r="M3" s="2" t="s">
        <v>14</v>
      </c>
      <c r="N3" s="2">
        <v>4661</v>
      </c>
      <c r="O3" s="2">
        <f>C17</f>
        <v>2454</v>
      </c>
      <c r="P3" s="2">
        <f>C25</f>
        <v>800</v>
      </c>
      <c r="Q3" s="2"/>
    </row>
    <row r="4" spans="1:18" x14ac:dyDescent="0.25">
      <c r="A4" s="4"/>
      <c r="B4" s="2" t="s">
        <v>73</v>
      </c>
      <c r="C4" s="2">
        <v>30</v>
      </c>
      <c r="D4" s="2">
        <f>('Wrzesień - wydatki'!$C4-'Wrzesień - wydatki'!$E4)</f>
        <v>0</v>
      </c>
      <c r="E4" s="5">
        <v>30</v>
      </c>
      <c r="F4" s="2"/>
      <c r="G4" s="4"/>
      <c r="H4" s="2" t="s">
        <v>56</v>
      </c>
      <c r="I4" s="2">
        <v>130</v>
      </c>
      <c r="J4" s="2">
        <f>('Wrzesień - wydatki'!$I4-K4)</f>
        <v>130</v>
      </c>
      <c r="K4" s="5"/>
      <c r="M4" s="2" t="s">
        <v>17</v>
      </c>
      <c r="N4" s="2">
        <v>7528</v>
      </c>
      <c r="O4" s="2">
        <f>I17</f>
        <v>6473</v>
      </c>
      <c r="P4" s="2">
        <f>H25</f>
        <v>800</v>
      </c>
      <c r="Q4" s="2"/>
    </row>
    <row r="5" spans="1:18" x14ac:dyDescent="0.25">
      <c r="A5" s="4"/>
      <c r="B5" s="2" t="s">
        <v>24</v>
      </c>
      <c r="C5" s="2">
        <v>197</v>
      </c>
      <c r="D5" s="2">
        <f>'Wrzesień - wydatki'!$C5-E5</f>
        <v>0</v>
      </c>
      <c r="E5" s="5">
        <v>197</v>
      </c>
      <c r="F5" s="2"/>
      <c r="G5" s="4"/>
      <c r="H5" s="2" t="s">
        <v>51</v>
      </c>
      <c r="I5" s="2">
        <v>1086</v>
      </c>
      <c r="J5" s="2">
        <f>('Wrzesień - wydatki'!$I5-K5)</f>
        <v>1086</v>
      </c>
      <c r="K5" s="5"/>
      <c r="M5" s="2" t="s">
        <v>5</v>
      </c>
      <c r="N5" s="2">
        <f>SUM(N3,N4,130)</f>
        <v>12319</v>
      </c>
      <c r="O5" s="2">
        <f t="shared" ref="O5:P5" si="0">SUM(O3,O4)</f>
        <v>8927</v>
      </c>
      <c r="P5" s="2">
        <f t="shared" si="0"/>
        <v>1600</v>
      </c>
      <c r="Q5" s="2">
        <f>(N5-O5-P5)</f>
        <v>1792</v>
      </c>
    </row>
    <row r="6" spans="1:18" x14ac:dyDescent="0.25">
      <c r="A6" s="4"/>
      <c r="B6" s="2" t="s">
        <v>178</v>
      </c>
      <c r="C6" s="2">
        <f>130+600</f>
        <v>730</v>
      </c>
      <c r="D6" s="2">
        <f>('Wrzesień - wydatki'!$C6-'Wrzesień - wydatki'!$E6)</f>
        <v>0</v>
      </c>
      <c r="E6" s="5">
        <f>(130+300+190+110)</f>
        <v>730</v>
      </c>
      <c r="F6" s="2"/>
      <c r="G6" s="4"/>
      <c r="H6" s="2" t="s">
        <v>179</v>
      </c>
      <c r="I6" s="2">
        <v>128</v>
      </c>
      <c r="J6" s="2">
        <f>('Wrzesień - wydatki'!$I6-K7)</f>
        <v>128</v>
      </c>
      <c r="K6" s="5"/>
      <c r="M6" s="42" t="s">
        <v>180</v>
      </c>
      <c r="N6" s="2" t="b">
        <f>C37+I39=N5</f>
        <v>0</v>
      </c>
      <c r="O6" s="2"/>
      <c r="P6" s="2"/>
      <c r="Q6" s="2"/>
    </row>
    <row r="7" spans="1:18" x14ac:dyDescent="0.25">
      <c r="A7" s="4"/>
      <c r="B7" s="2" t="s">
        <v>181</v>
      </c>
      <c r="C7" s="2">
        <v>56</v>
      </c>
      <c r="D7" s="2">
        <f>('Wrzesień - wydatki'!$C7-'Wrzesień - wydatki'!$E7)</f>
        <v>0</v>
      </c>
      <c r="E7" s="5">
        <v>56</v>
      </c>
      <c r="F7" s="2"/>
      <c r="G7" s="4"/>
      <c r="H7" s="2" t="s">
        <v>182</v>
      </c>
      <c r="I7" s="2">
        <v>65</v>
      </c>
      <c r="J7" s="2">
        <f>('Wrzesień - wydatki'!$I7-K8)</f>
        <v>65</v>
      </c>
      <c r="K7" s="5"/>
      <c r="L7" s="2"/>
      <c r="M7" s="2"/>
      <c r="N7" s="2"/>
      <c r="O7" s="2"/>
      <c r="P7" s="2"/>
      <c r="Q7" s="9"/>
    </row>
    <row r="8" spans="1:18" x14ac:dyDescent="0.25">
      <c r="A8" s="4"/>
      <c r="B8" s="2" t="s">
        <v>183</v>
      </c>
      <c r="C8" s="2">
        <v>100</v>
      </c>
      <c r="D8" s="2">
        <f>'Wrzesień - wydatki'!$C8-E8</f>
        <v>0</v>
      </c>
      <c r="E8" s="5">
        <f>(20+4+12+21+11+32)</f>
        <v>100</v>
      </c>
      <c r="F8" s="2"/>
      <c r="G8" s="4"/>
      <c r="H8" s="2" t="s">
        <v>52</v>
      </c>
      <c r="I8" s="2">
        <v>200</v>
      </c>
      <c r="J8" s="2">
        <f>('Wrzesień - wydatki'!$I8-K11)</f>
        <v>200</v>
      </c>
      <c r="K8" s="5"/>
      <c r="L8" s="2"/>
      <c r="M8" s="2"/>
      <c r="N8" s="2"/>
      <c r="O8" s="2"/>
      <c r="P8" s="2"/>
      <c r="Q8" s="9"/>
    </row>
    <row r="9" spans="1:18" x14ac:dyDescent="0.25">
      <c r="A9" s="4"/>
      <c r="B9" s="2" t="s">
        <v>184</v>
      </c>
      <c r="C9" s="2">
        <v>300</v>
      </c>
      <c r="D9" s="2">
        <f>('Wrzesień - wydatki'!$C9-'Wrzesień - wydatki'!$E9)</f>
        <v>0</v>
      </c>
      <c r="E9" s="5">
        <v>300</v>
      </c>
      <c r="F9" s="2"/>
      <c r="G9" s="4"/>
      <c r="H9" s="2" t="s">
        <v>54</v>
      </c>
      <c r="I9" s="2">
        <v>100</v>
      </c>
      <c r="J9" s="2">
        <f>('Wrzesień - wydatki'!$I9-K12)</f>
        <v>100</v>
      </c>
      <c r="K9" s="5"/>
      <c r="L9" s="2"/>
      <c r="M9" s="2"/>
      <c r="N9" s="2"/>
      <c r="O9" s="2"/>
      <c r="P9" s="2"/>
      <c r="Q9" s="9"/>
    </row>
    <row r="10" spans="1:18" x14ac:dyDescent="0.25">
      <c r="A10" s="4"/>
      <c r="B10" s="2" t="s">
        <v>62</v>
      </c>
      <c r="C10" s="2">
        <v>45</v>
      </c>
      <c r="D10" s="2">
        <v>0</v>
      </c>
      <c r="E10" s="5">
        <v>45</v>
      </c>
      <c r="F10" s="2"/>
      <c r="G10" s="4"/>
      <c r="H10" s="2" t="s">
        <v>185</v>
      </c>
      <c r="I10" s="2">
        <v>100</v>
      </c>
      <c r="J10" s="2">
        <f>('Wrzesień - wydatki'!$I10-K13)</f>
        <v>100</v>
      </c>
      <c r="K10" s="5"/>
      <c r="L10" s="2"/>
      <c r="M10" s="2"/>
      <c r="N10" s="2"/>
      <c r="O10" s="9"/>
      <c r="P10" s="2"/>
      <c r="Q10" s="9"/>
    </row>
    <row r="11" spans="1:18" ht="13.5" customHeight="1" x14ac:dyDescent="0.25">
      <c r="A11" s="4"/>
      <c r="B11" s="2" t="s">
        <v>48</v>
      </c>
      <c r="C11" s="2">
        <v>450</v>
      </c>
      <c r="D11" s="2">
        <f>('Wrzesień - wydatki'!$C11-'Wrzesień - wydatki'!$E11)</f>
        <v>0</v>
      </c>
      <c r="E11" s="5">
        <v>450</v>
      </c>
      <c r="F11" s="2"/>
      <c r="G11" s="4"/>
      <c r="H11" s="2" t="s">
        <v>186</v>
      </c>
      <c r="I11" s="2">
        <v>100</v>
      </c>
      <c r="J11" s="2">
        <f>('Wrzesień - wydatki'!$I11-K14)</f>
        <v>100</v>
      </c>
      <c r="K11" s="5"/>
      <c r="M11" s="99" t="s">
        <v>187</v>
      </c>
      <c r="N11" s="100"/>
    </row>
    <row r="12" spans="1:18" x14ac:dyDescent="0.25">
      <c r="A12" s="4"/>
      <c r="B12" s="2" t="s">
        <v>188</v>
      </c>
      <c r="C12" s="2">
        <v>50</v>
      </c>
      <c r="D12" s="2">
        <f>('Wrzesień - wydatki'!$C12-'Wrzesień - wydatki'!$E12)</f>
        <v>50</v>
      </c>
      <c r="E12" s="5"/>
      <c r="F12" s="2"/>
      <c r="G12" s="4"/>
      <c r="H12" s="2" t="s">
        <v>189</v>
      </c>
      <c r="I12" s="2">
        <v>100</v>
      </c>
      <c r="J12" s="2">
        <f>('Wrzesień - wydatki'!$I12-K13)</f>
        <v>100</v>
      </c>
      <c r="K12" s="5"/>
      <c r="M12" s="2" t="s">
        <v>48</v>
      </c>
      <c r="N12" s="2">
        <f>(4400+226+400)</f>
        <v>5026</v>
      </c>
      <c r="O12" s="2" t="s">
        <v>222</v>
      </c>
    </row>
    <row r="13" spans="1:18" x14ac:dyDescent="0.25">
      <c r="A13" s="4"/>
      <c r="B13" s="2" t="s">
        <v>233</v>
      </c>
      <c r="C13" s="2">
        <v>261</v>
      </c>
      <c r="D13" s="2">
        <f>'Wrzesień - wydatki'!$C13-'Wrzesień - wydatki'!$E13</f>
        <v>0</v>
      </c>
      <c r="E13" s="5">
        <f>(120+141)</f>
        <v>261</v>
      </c>
      <c r="F13" s="2"/>
      <c r="G13" s="4"/>
      <c r="H13" s="1" t="s">
        <v>191</v>
      </c>
      <c r="I13" s="9">
        <v>350</v>
      </c>
      <c r="J13" s="2">
        <f>('Wrzesień - wydatki'!$I13-K14)</f>
        <v>350</v>
      </c>
      <c r="K13" s="5"/>
      <c r="M13" s="43" t="s">
        <v>59</v>
      </c>
      <c r="N13" s="43">
        <f>377+146</f>
        <v>523</v>
      </c>
      <c r="O13" s="43"/>
    </row>
    <row r="14" spans="1:18" x14ac:dyDescent="0.25">
      <c r="A14" s="4"/>
      <c r="B14" s="2" t="s">
        <v>234</v>
      </c>
      <c r="C14" s="2">
        <v>150</v>
      </c>
      <c r="D14" s="2">
        <v>150</v>
      </c>
      <c r="E14" s="5"/>
      <c r="F14" s="2"/>
      <c r="G14" s="4"/>
      <c r="H14" s="1" t="s">
        <v>192</v>
      </c>
      <c r="I14" s="2">
        <v>330</v>
      </c>
      <c r="J14" s="2">
        <f>('Wrzesień - wydatki'!$I14-K15)</f>
        <v>330</v>
      </c>
      <c r="K14" s="5"/>
      <c r="M14" s="2" t="s">
        <v>225</v>
      </c>
      <c r="N14" s="2">
        <v>2100</v>
      </c>
      <c r="O14" s="2" t="s">
        <v>222</v>
      </c>
      <c r="P14" s="9"/>
      <c r="Q14" s="9"/>
    </row>
    <row r="15" spans="1:18" x14ac:dyDescent="0.25">
      <c r="A15" s="4"/>
      <c r="B15" s="2"/>
      <c r="C15" s="2"/>
      <c r="D15" s="2"/>
      <c r="E15" s="5"/>
      <c r="F15" s="2"/>
      <c r="G15" s="4"/>
      <c r="H15" s="2" t="s">
        <v>61</v>
      </c>
      <c r="I15" s="2">
        <v>400</v>
      </c>
      <c r="J15" s="2">
        <f>'Wrzesień - wydatki'!$I15-K29</f>
        <v>400</v>
      </c>
      <c r="K15" s="5"/>
      <c r="M15" s="43" t="s">
        <v>143</v>
      </c>
      <c r="N15" s="43">
        <v>0</v>
      </c>
      <c r="O15" s="43"/>
      <c r="P15" s="9"/>
      <c r="Q15" s="9"/>
    </row>
    <row r="16" spans="1:18" x14ac:dyDescent="0.25">
      <c r="A16" s="4"/>
      <c r="B16" s="2"/>
      <c r="C16" s="2"/>
      <c r="D16" s="2"/>
      <c r="E16" s="5"/>
      <c r="F16" s="2"/>
      <c r="G16" s="4"/>
      <c r="H16" s="1" t="s">
        <v>235</v>
      </c>
      <c r="I16" s="2">
        <v>284</v>
      </c>
      <c r="J16" s="2">
        <v>284</v>
      </c>
      <c r="K16" s="5"/>
      <c r="M16" s="2" t="s">
        <v>191</v>
      </c>
      <c r="N16" s="2">
        <v>700</v>
      </c>
      <c r="O16" s="2" t="s">
        <v>194</v>
      </c>
      <c r="P16" s="9"/>
      <c r="Q16" s="9"/>
    </row>
    <row r="17" spans="1:17" x14ac:dyDescent="0.25">
      <c r="A17" s="44"/>
      <c r="B17" s="45" t="s">
        <v>41</v>
      </c>
      <c r="C17" s="45">
        <f t="shared" ref="C17:E17" si="1">SUM(C3:C15)</f>
        <v>2454</v>
      </c>
      <c r="D17" s="45">
        <f t="shared" si="1"/>
        <v>200</v>
      </c>
      <c r="E17" s="47">
        <f t="shared" si="1"/>
        <v>2254</v>
      </c>
      <c r="F17" s="2"/>
      <c r="G17" s="44"/>
      <c r="H17" s="45" t="s">
        <v>41</v>
      </c>
      <c r="I17" s="45">
        <f t="shared" ref="I17:K17" si="2">SUM(I3:I16)</f>
        <v>6473</v>
      </c>
      <c r="J17" s="45">
        <f t="shared" si="2"/>
        <v>6473</v>
      </c>
      <c r="K17" s="47">
        <f t="shared" si="2"/>
        <v>0</v>
      </c>
      <c r="L17" s="9"/>
      <c r="M17" s="43" t="s">
        <v>47</v>
      </c>
      <c r="N17" s="43"/>
      <c r="O17" s="43"/>
      <c r="P17" s="9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2" t="s">
        <v>195</v>
      </c>
      <c r="N18" s="2"/>
      <c r="O18" s="2"/>
      <c r="P18" s="9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4"/>
      <c r="K19" s="48" t="s">
        <v>41</v>
      </c>
      <c r="L19" s="9"/>
      <c r="M19" s="43" t="s">
        <v>192</v>
      </c>
      <c r="N19" s="43"/>
      <c r="O19" s="43"/>
      <c r="P19" s="9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2" t="s">
        <v>13</v>
      </c>
      <c r="K20" s="49" t="s">
        <v>198</v>
      </c>
      <c r="L20" s="9"/>
      <c r="M20" s="2" t="s">
        <v>186</v>
      </c>
      <c r="N20" s="2"/>
      <c r="O20" s="2"/>
      <c r="P20" s="9"/>
      <c r="Q20" s="9"/>
    </row>
    <row r="21" spans="1:17" ht="15.75" customHeight="1" x14ac:dyDescent="0.25">
      <c r="A21" s="4"/>
      <c r="B21" s="2" t="s">
        <v>199</v>
      </c>
      <c r="C21" s="2">
        <v>200</v>
      </c>
      <c r="D21" s="36">
        <f t="shared" ref="D21:D24" si="3">(C21-E21)</f>
        <v>2.8421709430404007E-14</v>
      </c>
      <c r="E21" s="5">
        <f>(39.78+9.04+28.78+74.15+14.5+21.89+24.89+6.2-19.23)</f>
        <v>199.99999999999997</v>
      </c>
      <c r="F21" s="2"/>
      <c r="G21" s="4" t="s">
        <v>199</v>
      </c>
      <c r="H21" s="2">
        <v>200</v>
      </c>
      <c r="I21" s="2">
        <f t="shared" ref="I21:I24" si="4">(H21-J21)</f>
        <v>200</v>
      </c>
      <c r="J21" s="2">
        <v>0</v>
      </c>
      <c r="K21" s="50">
        <f>('Wrzesień - wydatki'!$D21+'Wrzesień - wydatki'!$I21)</f>
        <v>200.00000000000003</v>
      </c>
      <c r="L21" s="9"/>
      <c r="M21" s="43" t="s">
        <v>61</v>
      </c>
      <c r="N21" s="43">
        <f>1919+175</f>
        <v>2094</v>
      </c>
      <c r="O21" s="43"/>
    </row>
    <row r="22" spans="1:17" ht="15.75" customHeight="1" x14ac:dyDescent="0.25">
      <c r="A22" s="4"/>
      <c r="B22" s="2" t="s">
        <v>200</v>
      </c>
      <c r="C22" s="2">
        <v>200</v>
      </c>
      <c r="D22" s="2">
        <f t="shared" si="3"/>
        <v>0</v>
      </c>
      <c r="E22" s="5">
        <f>(19.23+7.5+13.52+62.65+3.66+6.99+28.66+7+24.21+82.83-56.25)</f>
        <v>200</v>
      </c>
      <c r="F22" s="2"/>
      <c r="G22" s="4" t="s">
        <v>200</v>
      </c>
      <c r="H22" s="2">
        <v>200</v>
      </c>
      <c r="I22" s="2">
        <f t="shared" si="4"/>
        <v>200</v>
      </c>
      <c r="J22" s="2">
        <f t="shared" ref="J22:J24" si="5">(0)</f>
        <v>0</v>
      </c>
      <c r="K22" s="49">
        <f>('Wrzesień - wydatki'!$D22+'Wrzesień - wydatki'!$I22)</f>
        <v>200</v>
      </c>
      <c r="L22" s="9"/>
      <c r="M22" s="52" t="s">
        <v>236</v>
      </c>
      <c r="N22" s="52">
        <v>825</v>
      </c>
      <c r="O22" s="52"/>
    </row>
    <row r="23" spans="1:17" ht="15.75" customHeight="1" x14ac:dyDescent="0.25">
      <c r="A23" s="4"/>
      <c r="B23" s="2" t="s">
        <v>201</v>
      </c>
      <c r="C23" s="2">
        <v>200</v>
      </c>
      <c r="D23" s="36">
        <f t="shared" si="3"/>
        <v>-2.8421709430404007E-14</v>
      </c>
      <c r="E23" s="5">
        <f>(56.25+27.17+80.93+23.88+14.28-2.51)</f>
        <v>200.00000000000003</v>
      </c>
      <c r="F23" s="2"/>
      <c r="G23" s="4" t="s">
        <v>201</v>
      </c>
      <c r="H23" s="2">
        <v>200</v>
      </c>
      <c r="I23" s="2">
        <f t="shared" si="4"/>
        <v>200</v>
      </c>
      <c r="J23" s="2">
        <f t="shared" si="5"/>
        <v>0</v>
      </c>
      <c r="K23" s="50">
        <f>('Wrzesień - wydatki'!$D23+'Wrzesień - wydatki'!$I23)</f>
        <v>199.99999999999997</v>
      </c>
      <c r="L23" s="9"/>
      <c r="M23" s="9"/>
    </row>
    <row r="24" spans="1:17" ht="15.75" customHeight="1" x14ac:dyDescent="0.25">
      <c r="A24" s="4"/>
      <c r="B24" s="2" t="s">
        <v>202</v>
      </c>
      <c r="C24" s="2">
        <v>200</v>
      </c>
      <c r="D24" s="2">
        <f t="shared" si="3"/>
        <v>0</v>
      </c>
      <c r="E24" s="5">
        <f>(2.51+16.13+181.36)</f>
        <v>200</v>
      </c>
      <c r="F24" s="2"/>
      <c r="G24" s="4" t="s">
        <v>202</v>
      </c>
      <c r="H24" s="2">
        <v>200</v>
      </c>
      <c r="I24" s="2">
        <f t="shared" si="4"/>
        <v>200</v>
      </c>
      <c r="J24" s="2">
        <f t="shared" si="5"/>
        <v>0</v>
      </c>
      <c r="K24" s="49">
        <f>('Wrzesień - wydatki'!$D24+'Wrzesień - wydatki'!$I24)</f>
        <v>200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800</v>
      </c>
      <c r="D25" s="46">
        <f t="shared" ref="D25:E25" si="6">SUM(D21:D24)</f>
        <v>0</v>
      </c>
      <c r="E25" s="47">
        <f t="shared" si="6"/>
        <v>800</v>
      </c>
      <c r="F25" s="2"/>
      <c r="G25" s="44" t="s">
        <v>203</v>
      </c>
      <c r="H25" s="45">
        <f t="shared" ref="H25:J25" si="7">SUM(H21:H24)</f>
        <v>800</v>
      </c>
      <c r="I25" s="45">
        <f t="shared" si="7"/>
        <v>800</v>
      </c>
      <c r="J25" s="45">
        <f t="shared" si="7"/>
        <v>0</v>
      </c>
      <c r="K25" s="53">
        <f>('Wrzesień - wydatki'!$D25+'Wrzesień - wydatki'!$I25)</f>
        <v>800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/>
      <c r="C29" s="2"/>
      <c r="D29" s="2"/>
      <c r="E29" s="5"/>
      <c r="F29" s="2"/>
      <c r="G29" s="4"/>
      <c r="H29" s="2" t="s">
        <v>148</v>
      </c>
      <c r="I29" s="2">
        <v>150</v>
      </c>
      <c r="J29" s="2">
        <f>'Wrzesień - wydatki'!$I29-K29</f>
        <v>150</v>
      </c>
      <c r="K29" s="5">
        <f t="shared" ref="K29:K31" si="8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'Wrzesień - wydatki'!$C30-E30</f>
        <v>0</v>
      </c>
      <c r="E30" s="5">
        <v>500</v>
      </c>
      <c r="F30" s="2"/>
      <c r="G30" s="4"/>
      <c r="H30" s="2" t="s">
        <v>208</v>
      </c>
      <c r="I30" s="2">
        <v>500</v>
      </c>
      <c r="J30" s="2">
        <f>'Wrzesień - wydatki'!$I30-K30</f>
        <v>500</v>
      </c>
      <c r="K30" s="5">
        <f t="shared" si="8"/>
        <v>0</v>
      </c>
      <c r="L30" s="9"/>
      <c r="M30" s="9"/>
    </row>
    <row r="31" spans="1:17" ht="15.75" customHeight="1" x14ac:dyDescent="0.25">
      <c r="A31" s="4"/>
      <c r="B31" s="9" t="s">
        <v>225</v>
      </c>
      <c r="C31" s="9">
        <v>400</v>
      </c>
      <c r="D31" s="2">
        <f>'Wrzesień - wydatki'!$C31-E31</f>
        <v>0</v>
      </c>
      <c r="E31" s="5">
        <v>400</v>
      </c>
      <c r="F31" s="2"/>
      <c r="G31" s="4"/>
      <c r="H31" s="2" t="s">
        <v>207</v>
      </c>
      <c r="I31" s="2">
        <v>20</v>
      </c>
      <c r="J31" s="2">
        <f>'Wrzesień - wydatki'!$I31-K31</f>
        <v>20</v>
      </c>
      <c r="K31" s="5">
        <f t="shared" si="8"/>
        <v>0</v>
      </c>
      <c r="L31" s="9"/>
      <c r="M31" s="9"/>
    </row>
    <row r="32" spans="1:17" ht="15.75" customHeight="1" x14ac:dyDescent="0.25">
      <c r="A32" s="4"/>
      <c r="B32" s="2"/>
      <c r="C32" s="2"/>
      <c r="D32" s="2"/>
      <c r="E32" s="5"/>
      <c r="F32" s="2"/>
      <c r="G32" s="4"/>
      <c r="H32" s="2" t="s">
        <v>237</v>
      </c>
      <c r="I32" s="2">
        <v>70</v>
      </c>
      <c r="J32" s="2">
        <f>'Wrzesień - wydatki'!$I32-K32</f>
        <v>70</v>
      </c>
      <c r="K32" s="5">
        <v>0</v>
      </c>
    </row>
    <row r="33" spans="1:11" ht="15.75" customHeight="1" x14ac:dyDescent="0.25">
      <c r="A33" s="44"/>
      <c r="B33" s="45" t="s">
        <v>203</v>
      </c>
      <c r="C33" s="45">
        <f t="shared" ref="C33:E33" si="9">SUM(C29:C32)</f>
        <v>900</v>
      </c>
      <c r="D33" s="45">
        <f t="shared" si="9"/>
        <v>0</v>
      </c>
      <c r="E33" s="45">
        <f t="shared" si="9"/>
        <v>900</v>
      </c>
      <c r="F33" s="2"/>
      <c r="G33" s="4"/>
      <c r="H33" s="2" t="s">
        <v>238</v>
      </c>
      <c r="I33" s="2">
        <v>50</v>
      </c>
      <c r="J33" s="2">
        <f>'Wrzesień - wydatki'!$I33-K33</f>
        <v>50</v>
      </c>
      <c r="K33" s="5">
        <v>0</v>
      </c>
    </row>
    <row r="34" spans="1:11" ht="15.75" customHeight="1" x14ac:dyDescent="0.25">
      <c r="A34" s="2"/>
      <c r="B34" s="34"/>
      <c r="C34" s="2"/>
      <c r="D34" s="2"/>
      <c r="E34" s="2"/>
      <c r="F34" s="2"/>
      <c r="G34" s="4"/>
      <c r="H34" s="2" t="s">
        <v>59</v>
      </c>
      <c r="I34" s="2">
        <v>152</v>
      </c>
      <c r="J34" s="2">
        <f>'Wrzesień - wydatki'!$I34-K34</f>
        <v>152</v>
      </c>
      <c r="K34" s="5">
        <v>0</v>
      </c>
    </row>
    <row r="35" spans="1:11" ht="15.75" customHeight="1" x14ac:dyDescent="0.25">
      <c r="A35" s="98" t="s">
        <v>217</v>
      </c>
      <c r="B35" s="96"/>
      <c r="C35" s="96"/>
      <c r="D35" s="96"/>
      <c r="E35" s="97"/>
      <c r="F35" s="2"/>
      <c r="G35" s="44"/>
      <c r="H35" s="45" t="s">
        <v>203</v>
      </c>
      <c r="I35" s="45">
        <f t="shared" ref="I35:K35" si="10">SUM(I29:I34)</f>
        <v>942</v>
      </c>
      <c r="J35" s="45">
        <f t="shared" si="10"/>
        <v>942</v>
      </c>
      <c r="K35" s="45">
        <f t="shared" si="10"/>
        <v>0</v>
      </c>
    </row>
    <row r="36" spans="1:11" ht="15.75" customHeight="1" x14ac:dyDescent="0.25">
      <c r="A36" s="4"/>
      <c r="B36" s="2"/>
      <c r="C36" s="2" t="s">
        <v>11</v>
      </c>
      <c r="D36" s="2" t="s">
        <v>12</v>
      </c>
      <c r="E36" s="5" t="s">
        <v>13</v>
      </c>
      <c r="F36" s="2"/>
      <c r="G36" s="2"/>
      <c r="H36" s="2"/>
      <c r="I36" s="2"/>
      <c r="J36" s="2"/>
      <c r="K36" s="2"/>
    </row>
    <row r="37" spans="1:11" ht="15.75" customHeight="1" x14ac:dyDescent="0.25">
      <c r="A37" s="44"/>
      <c r="B37" s="45"/>
      <c r="C37" s="45">
        <f t="shared" ref="C37:F37" si="11">C17+C25+C33</f>
        <v>4154</v>
      </c>
      <c r="D37" s="46">
        <f t="shared" si="11"/>
        <v>200</v>
      </c>
      <c r="E37" s="47">
        <f t="shared" si="11"/>
        <v>3954</v>
      </c>
      <c r="F37" s="2">
        <f t="shared" si="11"/>
        <v>0</v>
      </c>
      <c r="G37" s="95" t="s">
        <v>218</v>
      </c>
      <c r="H37" s="96"/>
      <c r="I37" s="96"/>
      <c r="J37" s="96"/>
      <c r="K37" s="97"/>
    </row>
    <row r="38" spans="1:11" ht="15.75" customHeight="1" x14ac:dyDescent="0.25">
      <c r="G38" s="4"/>
      <c r="H38" s="2"/>
      <c r="I38" s="2" t="s">
        <v>11</v>
      </c>
      <c r="J38" s="2" t="s">
        <v>12</v>
      </c>
      <c r="K38" s="5" t="s">
        <v>13</v>
      </c>
    </row>
    <row r="39" spans="1:11" ht="15.75" customHeight="1" x14ac:dyDescent="0.25">
      <c r="G39" s="44"/>
      <c r="H39" s="45"/>
      <c r="I39" s="45">
        <f t="shared" ref="I39:K39" si="12">I17+H25+I35</f>
        <v>8215</v>
      </c>
      <c r="J39" s="45">
        <f t="shared" si="12"/>
        <v>8215</v>
      </c>
      <c r="K39" s="47">
        <f t="shared" si="12"/>
        <v>0</v>
      </c>
    </row>
    <row r="40" spans="1:11" ht="15.75" customHeight="1" x14ac:dyDescent="0.25"/>
    <row r="41" spans="1:11" ht="15.75" customHeight="1" x14ac:dyDescent="0.25"/>
    <row r="42" spans="1:11" ht="15.75" customHeight="1" x14ac:dyDescent="0.25">
      <c r="A42" s="1" t="s">
        <v>229</v>
      </c>
      <c r="B42" s="1">
        <v>1919</v>
      </c>
    </row>
    <row r="43" spans="1:11" ht="15.75" customHeight="1" x14ac:dyDescent="0.25">
      <c r="A43" s="1" t="s">
        <v>230</v>
      </c>
      <c r="B43" s="1">
        <v>47</v>
      </c>
    </row>
    <row r="44" spans="1:11" ht="15.75" customHeight="1" x14ac:dyDescent="0.25">
      <c r="A44" s="1" t="s">
        <v>231</v>
      </c>
      <c r="B44" s="1">
        <v>400</v>
      </c>
    </row>
    <row r="45" spans="1:11" ht="15.75" customHeight="1" x14ac:dyDescent="0.25">
      <c r="A45" s="1" t="s">
        <v>232</v>
      </c>
      <c r="B45" s="1">
        <v>300</v>
      </c>
    </row>
    <row r="46" spans="1:11" ht="15.75" customHeight="1" x14ac:dyDescent="0.25">
      <c r="A46" s="1" t="s">
        <v>39</v>
      </c>
      <c r="B46" s="1">
        <v>700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35:E35"/>
    <mergeCell ref="G37:K37"/>
    <mergeCell ref="A1:E1"/>
    <mergeCell ref="G1:K1"/>
    <mergeCell ref="M11:N1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9.140625" customWidth="1"/>
    <col min="14" max="16" width="12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4" t="s">
        <v>171</v>
      </c>
      <c r="B2" s="2" t="s">
        <v>10</v>
      </c>
      <c r="C2" s="2" t="s">
        <v>11</v>
      </c>
      <c r="D2" s="2" t="s">
        <v>12</v>
      </c>
      <c r="E2" s="5" t="s">
        <v>13</v>
      </c>
      <c r="F2" s="2"/>
      <c r="G2" s="4" t="s">
        <v>171</v>
      </c>
      <c r="H2" s="2" t="s">
        <v>10</v>
      </c>
      <c r="I2" s="2" t="s">
        <v>11</v>
      </c>
      <c r="J2" s="2" t="s">
        <v>12</v>
      </c>
      <c r="K2" s="5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4"/>
      <c r="B3" s="2" t="s">
        <v>176</v>
      </c>
      <c r="C3" s="2">
        <v>85</v>
      </c>
      <c r="D3" s="2">
        <f>('Sierpień - wydatki'!$C3-'Sierpień - wydatki'!$E3)</f>
        <v>0</v>
      </c>
      <c r="E3" s="5">
        <f>60+25</f>
        <v>85</v>
      </c>
      <c r="F3" s="2"/>
      <c r="G3" s="4"/>
      <c r="H3" s="2" t="s">
        <v>177</v>
      </c>
      <c r="I3" s="2">
        <v>3102</v>
      </c>
      <c r="J3" s="2">
        <f>('Sierpień - wydatki'!$I3-K3)</f>
        <v>3102</v>
      </c>
      <c r="K3" s="5">
        <f>(0)</f>
        <v>0</v>
      </c>
      <c r="M3" s="2" t="s">
        <v>14</v>
      </c>
      <c r="N3" s="2">
        <v>4660</v>
      </c>
      <c r="O3" s="2">
        <f>C17</f>
        <v>2401</v>
      </c>
      <c r="P3" s="2">
        <f>C25</f>
        <v>800</v>
      </c>
      <c r="Q3" s="2"/>
    </row>
    <row r="4" spans="1:18" x14ac:dyDescent="0.25">
      <c r="A4" s="4"/>
      <c r="B4" s="2" t="s">
        <v>73</v>
      </c>
      <c r="C4" s="2">
        <v>30</v>
      </c>
      <c r="D4" s="2">
        <f>('Sierpień - wydatki'!$C4-'Sierpień - wydatki'!$E4)</f>
        <v>0</v>
      </c>
      <c r="E4" s="5">
        <v>30</v>
      </c>
      <c r="F4" s="2"/>
      <c r="G4" s="4"/>
      <c r="H4" s="2" t="s">
        <v>56</v>
      </c>
      <c r="I4" s="2">
        <v>130</v>
      </c>
      <c r="J4" s="2">
        <f>('Sierpień - wydatki'!$I4-K4)</f>
        <v>130</v>
      </c>
      <c r="K4" s="5"/>
      <c r="M4" s="2" t="s">
        <v>17</v>
      </c>
      <c r="N4" s="2">
        <v>7229</v>
      </c>
      <c r="O4" s="2">
        <f>I17</f>
        <v>5970</v>
      </c>
      <c r="P4" s="2">
        <f>H25</f>
        <v>800</v>
      </c>
      <c r="Q4" s="2"/>
    </row>
    <row r="5" spans="1:18" x14ac:dyDescent="0.25">
      <c r="A5" s="4"/>
      <c r="B5" s="2" t="s">
        <v>24</v>
      </c>
      <c r="C5" s="2">
        <v>230</v>
      </c>
      <c r="D5" s="2">
        <f>'Sierpień - wydatki'!$C5-E5</f>
        <v>0</v>
      </c>
      <c r="E5" s="5">
        <v>230</v>
      </c>
      <c r="F5" s="2"/>
      <c r="G5" s="4"/>
      <c r="H5" s="2" t="s">
        <v>51</v>
      </c>
      <c r="I5" s="2">
        <v>895</v>
      </c>
      <c r="J5" s="2">
        <f>('Sierpień - wydatki'!$I5-K5)</f>
        <v>895</v>
      </c>
      <c r="K5" s="5"/>
      <c r="M5" s="2" t="s">
        <v>5</v>
      </c>
      <c r="N5" s="2">
        <f>SUM(N3,N4,500)</f>
        <v>12389</v>
      </c>
      <c r="O5" s="2">
        <f t="shared" ref="O5:P5" si="0">SUM(O3,O4)</f>
        <v>8371</v>
      </c>
      <c r="P5" s="2">
        <f t="shared" si="0"/>
        <v>1600</v>
      </c>
      <c r="Q5" s="2">
        <f>(N5-O5-P5)</f>
        <v>2418</v>
      </c>
    </row>
    <row r="6" spans="1:18" x14ac:dyDescent="0.25">
      <c r="A6" s="4"/>
      <c r="B6" s="2" t="s">
        <v>178</v>
      </c>
      <c r="C6" s="2">
        <v>800</v>
      </c>
      <c r="D6" s="2">
        <f>('Sierpień - wydatki'!$C6-'Sierpień - wydatki'!$E6)</f>
        <v>130</v>
      </c>
      <c r="E6" s="5">
        <f>(110+245+200+108+7)</f>
        <v>670</v>
      </c>
      <c r="F6" s="2"/>
      <c r="G6" s="4"/>
      <c r="H6" s="2" t="s">
        <v>179</v>
      </c>
      <c r="I6" s="2">
        <v>128</v>
      </c>
      <c r="J6" s="2">
        <f>('Sierpień - wydatki'!$I6-K7)</f>
        <v>128</v>
      </c>
      <c r="K6" s="5"/>
      <c r="M6" s="42" t="s">
        <v>180</v>
      </c>
      <c r="N6" s="2" t="b">
        <f>C37+I39=N5</f>
        <v>1</v>
      </c>
      <c r="O6" s="2"/>
      <c r="P6" s="2"/>
      <c r="Q6" s="2"/>
    </row>
    <row r="7" spans="1:18" x14ac:dyDescent="0.25">
      <c r="A7" s="4"/>
      <c r="B7" s="2" t="s">
        <v>181</v>
      </c>
      <c r="C7" s="2">
        <v>56</v>
      </c>
      <c r="D7" s="2">
        <f>('Sierpień - wydatki'!$C7-'Sierpień - wydatki'!$E7)</f>
        <v>0</v>
      </c>
      <c r="E7" s="5">
        <v>56</v>
      </c>
      <c r="F7" s="2"/>
      <c r="G7" s="4"/>
      <c r="H7" s="2" t="s">
        <v>182</v>
      </c>
      <c r="I7" s="2">
        <v>65</v>
      </c>
      <c r="J7" s="2">
        <f>('Sierpień - wydatki'!$I7-K8)</f>
        <v>65</v>
      </c>
      <c r="K7" s="5"/>
      <c r="L7" s="2"/>
      <c r="M7" s="2"/>
      <c r="N7" s="2"/>
      <c r="O7" s="2"/>
      <c r="P7" s="2"/>
      <c r="Q7" s="9"/>
    </row>
    <row r="8" spans="1:18" x14ac:dyDescent="0.25">
      <c r="A8" s="4"/>
      <c r="B8" s="2" t="s">
        <v>183</v>
      </c>
      <c r="C8" s="2">
        <v>100</v>
      </c>
      <c r="D8" s="2">
        <f>'Sierpień - wydatki'!$C8-E8</f>
        <v>0</v>
      </c>
      <c r="E8" s="5">
        <f>(60+14+26)</f>
        <v>100</v>
      </c>
      <c r="F8" s="2"/>
      <c r="G8" s="4"/>
      <c r="H8" s="2" t="s">
        <v>52</v>
      </c>
      <c r="I8" s="2">
        <v>200</v>
      </c>
      <c r="J8" s="2">
        <f>('Sierpień - wydatki'!$I8-K11)</f>
        <v>200</v>
      </c>
      <c r="K8" s="5"/>
      <c r="L8" s="2"/>
      <c r="M8" s="2"/>
      <c r="N8" s="2"/>
      <c r="O8" s="2"/>
      <c r="P8" s="2"/>
      <c r="Q8" s="9"/>
    </row>
    <row r="9" spans="1:18" x14ac:dyDescent="0.25">
      <c r="A9" s="4"/>
      <c r="B9" s="2" t="s">
        <v>184</v>
      </c>
      <c r="C9" s="2">
        <v>300</v>
      </c>
      <c r="D9" s="2">
        <f>('Sierpień - wydatki'!$C9-'Sierpień - wydatki'!$E9)</f>
        <v>0</v>
      </c>
      <c r="E9" s="5">
        <v>300</v>
      </c>
      <c r="F9" s="2"/>
      <c r="G9" s="4"/>
      <c r="H9" s="2" t="s">
        <v>54</v>
      </c>
      <c r="I9" s="2">
        <v>100</v>
      </c>
      <c r="J9" s="2">
        <f>('Sierpień - wydatki'!$I9-K12)</f>
        <v>100</v>
      </c>
      <c r="K9" s="5"/>
      <c r="L9" s="2"/>
      <c r="M9" s="2"/>
      <c r="N9" s="2"/>
      <c r="O9" s="2"/>
      <c r="P9" s="2"/>
      <c r="Q9" s="9"/>
    </row>
    <row r="10" spans="1:18" x14ac:dyDescent="0.25">
      <c r="A10" s="4"/>
      <c r="B10" s="2" t="s">
        <v>239</v>
      </c>
      <c r="C10" s="2">
        <v>300</v>
      </c>
      <c r="D10" s="2">
        <f>('Sierpień - wydatki'!$C10-'Sierpień - wydatki'!$E10)</f>
        <v>0</v>
      </c>
      <c r="E10" s="5">
        <v>300</v>
      </c>
      <c r="F10" s="2"/>
      <c r="G10" s="4"/>
      <c r="H10" s="2" t="s">
        <v>185</v>
      </c>
      <c r="I10" s="2">
        <v>100</v>
      </c>
      <c r="J10" s="2">
        <f>('Sierpień - wydatki'!$I10-K13)</f>
        <v>100</v>
      </c>
      <c r="K10" s="5"/>
      <c r="L10" s="2"/>
      <c r="M10" s="2"/>
      <c r="N10" s="2"/>
      <c r="O10" s="9"/>
      <c r="P10" s="2"/>
      <c r="Q10" s="9"/>
    </row>
    <row r="11" spans="1:18" ht="13.5" customHeight="1" x14ac:dyDescent="0.25">
      <c r="A11" s="4"/>
      <c r="B11" s="2" t="s">
        <v>48</v>
      </c>
      <c r="C11" s="2">
        <v>450</v>
      </c>
      <c r="D11" s="2">
        <f>('Sierpień - wydatki'!$C11-'Sierpień - wydatki'!$E11)</f>
        <v>0</v>
      </c>
      <c r="E11" s="5">
        <f>(224+226)</f>
        <v>450</v>
      </c>
      <c r="F11" s="2"/>
      <c r="G11" s="4"/>
      <c r="H11" s="2" t="s">
        <v>186</v>
      </c>
      <c r="I11" s="2">
        <v>100</v>
      </c>
      <c r="J11" s="2">
        <f>('Sierpień - wydatki'!$I11-K14)</f>
        <v>100</v>
      </c>
      <c r="K11" s="5"/>
      <c r="M11" s="99" t="s">
        <v>187</v>
      </c>
      <c r="N11" s="100"/>
    </row>
    <row r="12" spans="1:18" x14ac:dyDescent="0.25">
      <c r="A12" s="4"/>
      <c r="B12" s="2" t="s">
        <v>188</v>
      </c>
      <c r="C12" s="2">
        <v>50</v>
      </c>
      <c r="D12" s="2">
        <f>('Sierpień - wydatki'!$C12-'Sierpień - wydatki'!$E12)</f>
        <v>0</v>
      </c>
      <c r="E12" s="5">
        <f>(35+15)</f>
        <v>50</v>
      </c>
      <c r="F12" s="2"/>
      <c r="G12" s="4"/>
      <c r="H12" s="2" t="s">
        <v>189</v>
      </c>
      <c r="I12" s="2">
        <v>100</v>
      </c>
      <c r="J12" s="2">
        <f>('Sierpień - wydatki'!$I12-K13)</f>
        <v>100</v>
      </c>
      <c r="K12" s="5"/>
      <c r="M12" s="2" t="s">
        <v>48</v>
      </c>
      <c r="N12" s="2">
        <f>(4400+226)</f>
        <v>4626</v>
      </c>
      <c r="O12" s="2" t="s">
        <v>240</v>
      </c>
    </row>
    <row r="13" spans="1:18" x14ac:dyDescent="0.25">
      <c r="A13" s="4"/>
      <c r="B13" s="2"/>
      <c r="C13" s="2"/>
      <c r="D13" s="2"/>
      <c r="E13" s="5"/>
      <c r="F13" s="2"/>
      <c r="G13" s="4"/>
      <c r="H13" s="1" t="s">
        <v>191</v>
      </c>
      <c r="I13" s="9">
        <v>350</v>
      </c>
      <c r="J13" s="2">
        <f>('Sierpień - wydatki'!$I13-K14)</f>
        <v>350</v>
      </c>
      <c r="K13" s="5"/>
      <c r="M13" s="43" t="s">
        <v>59</v>
      </c>
      <c r="N13" s="43">
        <f>377+146</f>
        <v>523</v>
      </c>
      <c r="O13" s="43"/>
    </row>
    <row r="14" spans="1:18" x14ac:dyDescent="0.25">
      <c r="A14" s="4"/>
      <c r="B14" s="2"/>
      <c r="C14" s="2"/>
      <c r="D14" s="2"/>
      <c r="E14" s="5"/>
      <c r="F14" s="2"/>
      <c r="G14" s="4"/>
      <c r="H14" s="1" t="s">
        <v>192</v>
      </c>
      <c r="I14" s="2">
        <v>300</v>
      </c>
      <c r="J14" s="2">
        <f>('Sierpień - wydatki'!$I14-K15)</f>
        <v>300</v>
      </c>
      <c r="K14" s="5"/>
      <c r="M14" s="2" t="s">
        <v>225</v>
      </c>
      <c r="N14" s="2">
        <v>1700</v>
      </c>
      <c r="O14" s="2" t="s">
        <v>194</v>
      </c>
      <c r="P14" s="9"/>
      <c r="Q14" s="9"/>
    </row>
    <row r="15" spans="1:18" x14ac:dyDescent="0.25">
      <c r="A15" s="4"/>
      <c r="B15" s="2"/>
      <c r="C15" s="2"/>
      <c r="D15" s="2"/>
      <c r="E15" s="5"/>
      <c r="F15" s="2"/>
      <c r="G15" s="4"/>
      <c r="H15" s="2" t="s">
        <v>61</v>
      </c>
      <c r="I15" s="2">
        <v>400</v>
      </c>
      <c r="J15" s="2">
        <f>'Sierpień - wydatki'!$I15-K29</f>
        <v>400</v>
      </c>
      <c r="K15" s="5"/>
      <c r="M15" s="43" t="s">
        <v>143</v>
      </c>
      <c r="N15" s="43">
        <v>0</v>
      </c>
      <c r="O15" s="43"/>
      <c r="P15" s="9"/>
      <c r="Q15" s="9"/>
    </row>
    <row r="16" spans="1:18" x14ac:dyDescent="0.25">
      <c r="A16" s="4"/>
      <c r="B16" s="2"/>
      <c r="C16" s="2"/>
      <c r="D16" s="2"/>
      <c r="E16" s="5"/>
      <c r="F16" s="2"/>
      <c r="G16" s="4"/>
      <c r="H16" s="1"/>
      <c r="I16" s="1"/>
      <c r="J16" s="1"/>
      <c r="K16" s="5"/>
      <c r="M16" s="2" t="s">
        <v>191</v>
      </c>
      <c r="N16" s="2">
        <v>700</v>
      </c>
      <c r="O16" s="2" t="s">
        <v>194</v>
      </c>
      <c r="P16" s="9"/>
      <c r="Q16" s="9"/>
    </row>
    <row r="17" spans="1:17" x14ac:dyDescent="0.25">
      <c r="A17" s="44"/>
      <c r="B17" s="45" t="s">
        <v>41</v>
      </c>
      <c r="C17" s="45">
        <f t="shared" ref="C17:E17" si="1">SUM(C3:C15)</f>
        <v>2401</v>
      </c>
      <c r="D17" s="45">
        <f t="shared" si="1"/>
        <v>130</v>
      </c>
      <c r="E17" s="47">
        <f t="shared" si="1"/>
        <v>2271</v>
      </c>
      <c r="F17" s="2"/>
      <c r="G17" s="44"/>
      <c r="H17" s="45" t="s">
        <v>41</v>
      </c>
      <c r="I17" s="45">
        <f t="shared" ref="I17:J17" si="2">SUM(I3:I15)</f>
        <v>5970</v>
      </c>
      <c r="J17" s="45">
        <f t="shared" si="2"/>
        <v>5970</v>
      </c>
      <c r="K17" s="47">
        <f>SUM(K3:K16)</f>
        <v>0</v>
      </c>
      <c r="L17" s="9"/>
      <c r="M17" s="43" t="s">
        <v>47</v>
      </c>
      <c r="N17" s="43"/>
      <c r="O17" s="43"/>
      <c r="P17" s="9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2" t="s">
        <v>195</v>
      </c>
      <c r="N18" s="2"/>
      <c r="O18" s="2"/>
      <c r="P18" s="9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4"/>
      <c r="K19" s="48" t="s">
        <v>41</v>
      </c>
      <c r="L19" s="9"/>
      <c r="M19" s="43" t="s">
        <v>192</v>
      </c>
      <c r="N19" s="43"/>
      <c r="O19" s="43"/>
      <c r="P19" s="9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2" t="s">
        <v>13</v>
      </c>
      <c r="K20" s="49" t="s">
        <v>198</v>
      </c>
      <c r="L20" s="9"/>
      <c r="M20" s="2" t="s">
        <v>186</v>
      </c>
      <c r="N20" s="2"/>
      <c r="O20" s="2"/>
      <c r="P20" s="9"/>
      <c r="Q20" s="9"/>
    </row>
    <row r="21" spans="1:17" ht="15.75" customHeight="1" x14ac:dyDescent="0.25">
      <c r="A21" s="4"/>
      <c r="B21" s="2" t="s">
        <v>199</v>
      </c>
      <c r="C21" s="2">
        <v>400</v>
      </c>
      <c r="D21" s="2">
        <f t="shared" ref="D21:D24" si="3">(C21-E21)</f>
        <v>0</v>
      </c>
      <c r="E21" s="5">
        <f>(90.15+95.7+63.1+9.49+6.5+54.16+7.18+28.47+33.26+6.99+5)</f>
        <v>400</v>
      </c>
      <c r="F21" s="2"/>
      <c r="G21" s="4" t="s">
        <v>199</v>
      </c>
      <c r="H21" s="2">
        <v>200</v>
      </c>
      <c r="I21" s="2">
        <f t="shared" ref="I21:I24" si="4">(H21-J21)</f>
        <v>200</v>
      </c>
      <c r="J21" s="2">
        <v>0</v>
      </c>
      <c r="K21" s="54">
        <f>('Sierpień - wydatki'!$D21+'Sierpień - wydatki'!$I21)</f>
        <v>200</v>
      </c>
      <c r="L21" s="9"/>
      <c r="M21" s="43" t="s">
        <v>61</v>
      </c>
      <c r="N21" s="43">
        <f>1919+175</f>
        <v>2094</v>
      </c>
      <c r="O21" s="43"/>
    </row>
    <row r="22" spans="1:17" ht="15.75" customHeight="1" x14ac:dyDescent="0.25">
      <c r="A22" s="4"/>
      <c r="B22" s="2" t="s">
        <v>200</v>
      </c>
      <c r="C22" s="2">
        <v>200</v>
      </c>
      <c r="D22" s="2">
        <f t="shared" si="3"/>
        <v>0</v>
      </c>
      <c r="E22" s="5">
        <f>(23.95+97.14+3.49+31.69+19.09+16.53+8.11)</f>
        <v>200</v>
      </c>
      <c r="F22" s="2"/>
      <c r="G22" s="4" t="s">
        <v>200</v>
      </c>
      <c r="H22" s="2">
        <v>200</v>
      </c>
      <c r="I22" s="2">
        <f t="shared" si="4"/>
        <v>200</v>
      </c>
      <c r="J22" s="2">
        <f t="shared" ref="J22:J24" si="5">(0)</f>
        <v>0</v>
      </c>
      <c r="K22" s="49">
        <f>('Sierpień - wydatki'!$D22+'Sierpień - wydatki'!$I22)</f>
        <v>200</v>
      </c>
      <c r="L22" s="9"/>
      <c r="M22" s="52" t="s">
        <v>236</v>
      </c>
      <c r="N22" s="52">
        <v>825</v>
      </c>
      <c r="O22" s="52"/>
    </row>
    <row r="23" spans="1:17" ht="15.75" customHeight="1" x14ac:dyDescent="0.25">
      <c r="A23" s="4"/>
      <c r="B23" s="2" t="s">
        <v>201</v>
      </c>
      <c r="C23" s="2">
        <v>200</v>
      </c>
      <c r="D23" s="2">
        <f t="shared" si="3"/>
        <v>0</v>
      </c>
      <c r="E23" s="5">
        <f>(119+32.75+6.49+4.79+36.97)</f>
        <v>200</v>
      </c>
      <c r="F23" s="2"/>
      <c r="G23" s="4" t="s">
        <v>201</v>
      </c>
      <c r="H23" s="2">
        <v>200</v>
      </c>
      <c r="I23" s="2">
        <f t="shared" si="4"/>
        <v>200</v>
      </c>
      <c r="J23" s="2">
        <f t="shared" si="5"/>
        <v>0</v>
      </c>
      <c r="K23" s="54">
        <f>('Sierpień - wydatki'!$D23+'Sierpień - wydatki'!$I23)</f>
        <v>200</v>
      </c>
      <c r="L23" s="9"/>
      <c r="M23" s="9"/>
    </row>
    <row r="24" spans="1:17" ht="15.75" customHeight="1" x14ac:dyDescent="0.25">
      <c r="A24" s="4"/>
      <c r="B24" s="2" t="s">
        <v>202</v>
      </c>
      <c r="C24" s="2">
        <v>0</v>
      </c>
      <c r="D24" s="2">
        <f t="shared" si="3"/>
        <v>0</v>
      </c>
      <c r="E24" s="5"/>
      <c r="F24" s="2"/>
      <c r="G24" s="4" t="s">
        <v>202</v>
      </c>
      <c r="H24" s="2">
        <v>200</v>
      </c>
      <c r="I24" s="2">
        <f t="shared" si="4"/>
        <v>200</v>
      </c>
      <c r="J24" s="2">
        <f t="shared" si="5"/>
        <v>0</v>
      </c>
      <c r="K24" s="49">
        <f>('Sierpień - wydatki'!$D24+'Sierpień - wydatki'!$I24)</f>
        <v>200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800</v>
      </c>
      <c r="D25" s="45">
        <f t="shared" ref="D25:E25" si="6">SUM(D21:D24)</f>
        <v>0</v>
      </c>
      <c r="E25" s="47">
        <f t="shared" si="6"/>
        <v>800</v>
      </c>
      <c r="F25" s="2"/>
      <c r="G25" s="44" t="s">
        <v>203</v>
      </c>
      <c r="H25" s="45">
        <f t="shared" ref="H25:J25" si="7">SUM(H21:H24)</f>
        <v>800</v>
      </c>
      <c r="I25" s="45">
        <f t="shared" si="7"/>
        <v>800</v>
      </c>
      <c r="J25" s="45">
        <f t="shared" si="7"/>
        <v>0</v>
      </c>
      <c r="K25" s="55">
        <f>('Sierpień - wydatki'!$D25+'Sierpień - wydatki'!$I25)</f>
        <v>800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 t="s">
        <v>241</v>
      </c>
      <c r="C29" s="2">
        <v>52</v>
      </c>
      <c r="D29" s="2">
        <f>'Sierpień - wydatki'!$C29-E29</f>
        <v>0</v>
      </c>
      <c r="E29" s="5">
        <v>52</v>
      </c>
      <c r="F29" s="2"/>
      <c r="G29" s="4"/>
      <c r="H29" s="2" t="s">
        <v>144</v>
      </c>
      <c r="I29" s="2">
        <v>500</v>
      </c>
      <c r="J29" s="2">
        <f>'Sierpień - wydatki'!$I29-K29</f>
        <v>500</v>
      </c>
      <c r="K29" s="5">
        <f t="shared" ref="K29:K31" si="8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'Sierpień - wydatki'!$C30-E30</f>
        <v>0</v>
      </c>
      <c r="E30" s="5">
        <v>500</v>
      </c>
      <c r="F30" s="2"/>
      <c r="G30" s="4"/>
      <c r="H30" s="2" t="s">
        <v>208</v>
      </c>
      <c r="I30" s="2">
        <v>500</v>
      </c>
      <c r="J30" s="2">
        <f>'Sierpień - wydatki'!$I30-K30</f>
        <v>500</v>
      </c>
      <c r="K30" s="5">
        <f t="shared" si="8"/>
        <v>0</v>
      </c>
      <c r="L30" s="9"/>
      <c r="M30" s="9"/>
    </row>
    <row r="31" spans="1:17" ht="15.75" customHeight="1" x14ac:dyDescent="0.25">
      <c r="A31" s="4"/>
      <c r="B31" s="9" t="s">
        <v>225</v>
      </c>
      <c r="C31" s="9">
        <v>400</v>
      </c>
      <c r="D31" s="2">
        <f>'Sierpień - wydatki'!$C31-E31</f>
        <v>0</v>
      </c>
      <c r="E31" s="5">
        <v>400</v>
      </c>
      <c r="F31" s="2"/>
      <c r="G31" s="4"/>
      <c r="H31" s="2" t="s">
        <v>207</v>
      </c>
      <c r="I31" s="2">
        <v>50</v>
      </c>
      <c r="J31" s="2">
        <f>'Sierpień - wydatki'!$I31-K31</f>
        <v>50</v>
      </c>
      <c r="K31" s="5">
        <f t="shared" si="8"/>
        <v>0</v>
      </c>
      <c r="L31" s="9"/>
      <c r="M31" s="9"/>
    </row>
    <row r="32" spans="1:17" ht="15.75" customHeight="1" x14ac:dyDescent="0.25">
      <c r="A32" s="4"/>
      <c r="B32" s="2"/>
      <c r="C32" s="2"/>
      <c r="D32" s="2"/>
      <c r="E32" s="5"/>
      <c r="F32" s="2"/>
      <c r="G32" s="4"/>
      <c r="H32" s="2" t="s">
        <v>242</v>
      </c>
      <c r="I32" s="2">
        <v>220</v>
      </c>
      <c r="J32" s="2">
        <f>'Sierpień - wydatki'!$I32-K32</f>
        <v>220</v>
      </c>
      <c r="K32" s="5">
        <v>0</v>
      </c>
    </row>
    <row r="33" spans="1:11" ht="15.75" customHeight="1" x14ac:dyDescent="0.25">
      <c r="A33" s="44"/>
      <c r="B33" s="45" t="s">
        <v>203</v>
      </c>
      <c r="C33" s="45">
        <f t="shared" ref="C33:E33" si="9">SUM(C29:C32)</f>
        <v>952</v>
      </c>
      <c r="D33" s="45">
        <f t="shared" si="9"/>
        <v>0</v>
      </c>
      <c r="E33" s="45">
        <f t="shared" si="9"/>
        <v>952</v>
      </c>
      <c r="F33" s="2"/>
      <c r="G33" s="4"/>
      <c r="H33" s="2" t="s">
        <v>238</v>
      </c>
      <c r="I33" s="2">
        <v>50</v>
      </c>
      <c r="J33" s="2">
        <f>'Sierpień - wydatki'!$I33-K33</f>
        <v>50</v>
      </c>
      <c r="K33" s="5">
        <v>0</v>
      </c>
    </row>
    <row r="34" spans="1:11" ht="15.75" customHeight="1" x14ac:dyDescent="0.25">
      <c r="A34" s="2"/>
      <c r="B34" s="34"/>
      <c r="C34" s="2"/>
      <c r="D34" s="2"/>
      <c r="E34" s="2"/>
      <c r="F34" s="2"/>
      <c r="G34" s="4"/>
      <c r="H34" s="2" t="s">
        <v>59</v>
      </c>
      <c r="I34" s="2">
        <v>146</v>
      </c>
      <c r="J34" s="2">
        <f>'Sierpień - wydatki'!$I34-K34</f>
        <v>146</v>
      </c>
      <c r="K34" s="5">
        <v>0</v>
      </c>
    </row>
    <row r="35" spans="1:11" ht="15.75" customHeight="1" x14ac:dyDescent="0.25">
      <c r="A35" s="98" t="s">
        <v>217</v>
      </c>
      <c r="B35" s="96"/>
      <c r="C35" s="96"/>
      <c r="D35" s="96"/>
      <c r="E35" s="97"/>
      <c r="F35" s="2"/>
      <c r="G35" s="44"/>
      <c r="H35" s="45" t="s">
        <v>203</v>
      </c>
      <c r="I35" s="45">
        <f t="shared" ref="I35:K35" si="10">SUM(I29:I34)</f>
        <v>1466</v>
      </c>
      <c r="J35" s="45">
        <f t="shared" si="10"/>
        <v>1466</v>
      </c>
      <c r="K35" s="45">
        <f t="shared" si="10"/>
        <v>0</v>
      </c>
    </row>
    <row r="36" spans="1:11" ht="15.75" customHeight="1" x14ac:dyDescent="0.25">
      <c r="A36" s="4"/>
      <c r="B36" s="2"/>
      <c r="C36" s="2" t="s">
        <v>11</v>
      </c>
      <c r="D36" s="2" t="s">
        <v>12</v>
      </c>
      <c r="E36" s="5" t="s">
        <v>13</v>
      </c>
      <c r="F36" s="2"/>
      <c r="G36" s="2"/>
      <c r="H36" s="2"/>
      <c r="I36" s="2"/>
      <c r="J36" s="2"/>
      <c r="K36" s="2"/>
    </row>
    <row r="37" spans="1:11" ht="15.75" customHeight="1" x14ac:dyDescent="0.25">
      <c r="A37" s="44"/>
      <c r="B37" s="45"/>
      <c r="C37" s="45">
        <f t="shared" ref="C37:F37" si="11">C17+C25+C33</f>
        <v>4153</v>
      </c>
      <c r="D37" s="45">
        <f t="shared" si="11"/>
        <v>130</v>
      </c>
      <c r="E37" s="47">
        <f t="shared" si="11"/>
        <v>4023</v>
      </c>
      <c r="F37" s="2">
        <f t="shared" si="11"/>
        <v>0</v>
      </c>
      <c r="G37" s="95" t="s">
        <v>218</v>
      </c>
      <c r="H37" s="96"/>
      <c r="I37" s="96"/>
      <c r="J37" s="96"/>
      <c r="K37" s="97"/>
    </row>
    <row r="38" spans="1:11" ht="15.75" customHeight="1" x14ac:dyDescent="0.25">
      <c r="G38" s="4"/>
      <c r="H38" s="2"/>
      <c r="I38" s="2" t="s">
        <v>11</v>
      </c>
      <c r="J38" s="2" t="s">
        <v>12</v>
      </c>
      <c r="K38" s="5" t="s">
        <v>13</v>
      </c>
    </row>
    <row r="39" spans="1:11" ht="15.75" customHeight="1" x14ac:dyDescent="0.25">
      <c r="G39" s="44"/>
      <c r="H39" s="45"/>
      <c r="I39" s="45">
        <f t="shared" ref="I39:K39" si="12">I17+H25+I35</f>
        <v>8236</v>
      </c>
      <c r="J39" s="45">
        <f t="shared" si="12"/>
        <v>8236</v>
      </c>
      <c r="K39" s="47">
        <f t="shared" si="12"/>
        <v>0</v>
      </c>
    </row>
    <row r="40" spans="1:11" ht="15.75" customHeight="1" x14ac:dyDescent="0.25"/>
    <row r="41" spans="1:11" ht="15.75" customHeight="1" x14ac:dyDescent="0.25"/>
    <row r="42" spans="1:11" ht="15.75" customHeight="1" x14ac:dyDescent="0.25">
      <c r="A42" s="1" t="s">
        <v>229</v>
      </c>
      <c r="B42" s="1">
        <v>1919</v>
      </c>
    </row>
    <row r="43" spans="1:11" ht="15.75" customHeight="1" x14ac:dyDescent="0.25">
      <c r="A43" s="1" t="s">
        <v>230</v>
      </c>
      <c r="B43" s="1">
        <v>47</v>
      </c>
    </row>
    <row r="44" spans="1:11" ht="15.75" customHeight="1" x14ac:dyDescent="0.25">
      <c r="A44" s="1" t="s">
        <v>231</v>
      </c>
      <c r="B44" s="1">
        <v>400</v>
      </c>
    </row>
    <row r="45" spans="1:11" ht="15.75" customHeight="1" x14ac:dyDescent="0.25">
      <c r="A45" s="1" t="s">
        <v>232</v>
      </c>
      <c r="B45" s="1">
        <v>300</v>
      </c>
    </row>
    <row r="46" spans="1:11" ht="15.75" customHeight="1" x14ac:dyDescent="0.25">
      <c r="A46" s="1" t="s">
        <v>39</v>
      </c>
      <c r="B46" s="1">
        <v>700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35:E35"/>
    <mergeCell ref="G37:K37"/>
    <mergeCell ref="A1:E1"/>
    <mergeCell ref="G1:K1"/>
    <mergeCell ref="M11:N1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000"/>
  <sheetViews>
    <sheetView workbookViewId="0"/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9.140625" customWidth="1"/>
    <col min="14" max="16" width="12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4" t="s">
        <v>171</v>
      </c>
      <c r="B2" s="2" t="s">
        <v>10</v>
      </c>
      <c r="C2" s="2" t="s">
        <v>11</v>
      </c>
      <c r="D2" s="2" t="s">
        <v>12</v>
      </c>
      <c r="E2" s="5" t="s">
        <v>13</v>
      </c>
      <c r="F2" s="2"/>
      <c r="G2" s="4" t="s">
        <v>171</v>
      </c>
      <c r="H2" s="2" t="s">
        <v>10</v>
      </c>
      <c r="I2" s="2" t="s">
        <v>11</v>
      </c>
      <c r="J2" s="2" t="s">
        <v>12</v>
      </c>
      <c r="K2" s="5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4"/>
      <c r="B3" s="2" t="s">
        <v>176</v>
      </c>
      <c r="C3" s="2">
        <v>75</v>
      </c>
      <c r="D3" s="2">
        <f>('Lipiec - wydatki'!$C3-'Lipiec - wydatki'!$E3)</f>
        <v>0</v>
      </c>
      <c r="E3" s="5">
        <v>75</v>
      </c>
      <c r="F3" s="2"/>
      <c r="G3" s="4"/>
      <c r="H3" s="2" t="s">
        <v>177</v>
      </c>
      <c r="I3" s="2">
        <v>3110</v>
      </c>
      <c r="J3" s="2">
        <f>('Lipiec - wydatki'!$I3-K3)</f>
        <v>3110</v>
      </c>
      <c r="K3" s="5">
        <f>(0)</f>
        <v>0</v>
      </c>
      <c r="M3" s="2" t="s">
        <v>14</v>
      </c>
      <c r="N3" s="2">
        <v>4360</v>
      </c>
      <c r="O3" s="2">
        <f>C17</f>
        <v>2331</v>
      </c>
      <c r="P3" s="2">
        <f>C25</f>
        <v>800</v>
      </c>
      <c r="Q3" s="2"/>
    </row>
    <row r="4" spans="1:18" x14ac:dyDescent="0.25">
      <c r="A4" s="4"/>
      <c r="B4" s="2" t="s">
        <v>73</v>
      </c>
      <c r="C4" s="2">
        <v>30</v>
      </c>
      <c r="D4" s="2">
        <f>('Lipiec - wydatki'!$C4-'Lipiec - wydatki'!$E4)</f>
        <v>0</v>
      </c>
      <c r="E4" s="5">
        <v>30</v>
      </c>
      <c r="F4" s="2"/>
      <c r="G4" s="4"/>
      <c r="H4" s="2" t="s">
        <v>56</v>
      </c>
      <c r="I4" s="2">
        <v>130</v>
      </c>
      <c r="J4" s="2">
        <f>('Lipiec - wydatki'!$I4-K4)</f>
        <v>130</v>
      </c>
      <c r="K4" s="5"/>
      <c r="M4" s="2" t="s">
        <v>17</v>
      </c>
      <c r="N4" s="2">
        <v>7500</v>
      </c>
      <c r="O4" s="2">
        <f>I17</f>
        <v>5658.5</v>
      </c>
      <c r="P4" s="2">
        <f>H25</f>
        <v>800</v>
      </c>
      <c r="Q4" s="2"/>
    </row>
    <row r="5" spans="1:18" x14ac:dyDescent="0.25">
      <c r="A5" s="4"/>
      <c r="B5" s="2" t="s">
        <v>24</v>
      </c>
      <c r="C5" s="2">
        <v>220</v>
      </c>
      <c r="D5" s="2">
        <f>'Lipiec - wydatki'!$C5-E5</f>
        <v>0</v>
      </c>
      <c r="E5" s="5">
        <v>220</v>
      </c>
      <c r="F5" s="2"/>
      <c r="G5" s="4"/>
      <c r="H5" s="2" t="s">
        <v>51</v>
      </c>
      <c r="I5" s="2">
        <v>996.5</v>
      </c>
      <c r="J5" s="2">
        <f>('Lipiec - wydatki'!$I5-K5)</f>
        <v>996.5</v>
      </c>
      <c r="K5" s="5"/>
      <c r="M5" s="2" t="s">
        <v>5</v>
      </c>
      <c r="N5" s="2">
        <f t="shared" ref="N5:P5" si="0">SUM(N3,N4)</f>
        <v>11860</v>
      </c>
      <c r="O5" s="2">
        <f t="shared" si="0"/>
        <v>7989.5</v>
      </c>
      <c r="P5" s="2">
        <f t="shared" si="0"/>
        <v>1600</v>
      </c>
      <c r="Q5" s="2">
        <f>(N5-O5-P5)</f>
        <v>2270.5</v>
      </c>
    </row>
    <row r="6" spans="1:18" x14ac:dyDescent="0.25">
      <c r="A6" s="4"/>
      <c r="B6" s="2" t="s">
        <v>178</v>
      </c>
      <c r="C6" s="2">
        <v>800</v>
      </c>
      <c r="D6" s="2">
        <f>('Lipiec - wydatki'!$C6-'Lipiec - wydatki'!$E6)</f>
        <v>0</v>
      </c>
      <c r="E6" s="5">
        <f>(106+93+302+280+19)</f>
        <v>800</v>
      </c>
      <c r="F6" s="2"/>
      <c r="G6" s="4"/>
      <c r="H6" s="2" t="s">
        <v>243</v>
      </c>
      <c r="I6" s="2">
        <v>300</v>
      </c>
      <c r="J6" s="2">
        <f>('Lipiec - wydatki'!$I6-K6)</f>
        <v>300</v>
      </c>
      <c r="K6" s="5"/>
      <c r="M6" s="42" t="s">
        <v>180</v>
      </c>
      <c r="N6" s="2" t="b">
        <f>C37+I37=N5</f>
        <v>1</v>
      </c>
      <c r="O6" s="2"/>
      <c r="P6" s="2"/>
      <c r="Q6" s="2"/>
    </row>
    <row r="7" spans="1:18" x14ac:dyDescent="0.25">
      <c r="A7" s="4"/>
      <c r="B7" s="2" t="s">
        <v>181</v>
      </c>
      <c r="C7" s="2">
        <v>56</v>
      </c>
      <c r="D7" s="2">
        <f>('Lipiec - wydatki'!$C7-'Lipiec - wydatki'!$E7)</f>
        <v>0</v>
      </c>
      <c r="E7" s="5">
        <v>56</v>
      </c>
      <c r="F7" s="2"/>
      <c r="G7" s="4"/>
      <c r="H7" s="2" t="s">
        <v>179</v>
      </c>
      <c r="I7" s="2">
        <v>128</v>
      </c>
      <c r="J7" s="2">
        <f>('Lipiec - wydatki'!$I7-K7)</f>
        <v>128</v>
      </c>
      <c r="K7" s="5"/>
      <c r="L7" s="2"/>
      <c r="M7" s="2"/>
      <c r="N7" s="2"/>
      <c r="O7" s="2"/>
      <c r="P7" s="2"/>
      <c r="Q7" s="9"/>
    </row>
    <row r="8" spans="1:18" x14ac:dyDescent="0.25">
      <c r="A8" s="4"/>
      <c r="B8" s="2" t="s">
        <v>183</v>
      </c>
      <c r="C8" s="2">
        <v>100</v>
      </c>
      <c r="D8" s="2">
        <f>'Lipiec - wydatki'!$C8-E8</f>
        <v>0</v>
      </c>
      <c r="E8" s="5">
        <f>30+38+8+24</f>
        <v>100</v>
      </c>
      <c r="F8" s="2"/>
      <c r="G8" s="4"/>
      <c r="H8" s="2" t="s">
        <v>182</v>
      </c>
      <c r="I8" s="2">
        <v>44</v>
      </c>
      <c r="J8" s="2">
        <f>('Lipiec - wydatki'!$I8-K8)</f>
        <v>44</v>
      </c>
      <c r="K8" s="5"/>
      <c r="L8" s="2"/>
      <c r="M8" s="2"/>
      <c r="N8" s="2"/>
      <c r="O8" s="2"/>
      <c r="P8" s="2"/>
      <c r="Q8" s="9"/>
    </row>
    <row r="9" spans="1:18" x14ac:dyDescent="0.25">
      <c r="A9" s="4"/>
      <c r="B9" s="2" t="s">
        <v>184</v>
      </c>
      <c r="C9" s="2">
        <v>300</v>
      </c>
      <c r="D9" s="2">
        <f>('Lipiec - wydatki'!$C9-'Lipiec - wydatki'!$E9)</f>
        <v>0</v>
      </c>
      <c r="E9" s="5">
        <v>300</v>
      </c>
      <c r="F9" s="2"/>
      <c r="G9" s="4"/>
      <c r="H9" s="2" t="s">
        <v>52</v>
      </c>
      <c r="I9" s="2">
        <v>200</v>
      </c>
      <c r="J9" s="2">
        <f>('Lipiec - wydatki'!$I9-K11)</f>
        <v>200</v>
      </c>
      <c r="K9" s="5"/>
      <c r="L9" s="2"/>
      <c r="M9" s="2"/>
      <c r="N9" s="2"/>
      <c r="O9" s="2"/>
      <c r="P9" s="2"/>
      <c r="Q9" s="9"/>
    </row>
    <row r="10" spans="1:18" x14ac:dyDescent="0.25">
      <c r="A10" s="4"/>
      <c r="B10" s="2" t="s">
        <v>244</v>
      </c>
      <c r="C10" s="2">
        <v>300</v>
      </c>
      <c r="D10" s="2">
        <f>('Lipiec - wydatki'!$C10-'Lipiec - wydatki'!$E10)</f>
        <v>0</v>
      </c>
      <c r="E10" s="5">
        <v>300</v>
      </c>
      <c r="F10" s="2"/>
      <c r="G10" s="4"/>
      <c r="H10" s="2" t="s">
        <v>54</v>
      </c>
      <c r="I10" s="2">
        <v>100</v>
      </c>
      <c r="J10" s="2">
        <f>('Lipiec - wydatki'!$I10-K12)</f>
        <v>100</v>
      </c>
      <c r="K10" s="5"/>
      <c r="L10" s="2"/>
      <c r="M10" s="2"/>
      <c r="N10" s="2"/>
      <c r="O10" s="9"/>
      <c r="P10" s="2"/>
      <c r="Q10" s="9"/>
    </row>
    <row r="11" spans="1:18" ht="13.5" customHeight="1" x14ac:dyDescent="0.25">
      <c r="A11" s="4"/>
      <c r="B11" s="2" t="s">
        <v>48</v>
      </c>
      <c r="C11" s="2">
        <v>450</v>
      </c>
      <c r="D11" s="2">
        <f>('Lipiec - wydatki'!$C11-'Lipiec - wydatki'!$E11)</f>
        <v>0</v>
      </c>
      <c r="E11" s="5">
        <f>150+300</f>
        <v>450</v>
      </c>
      <c r="F11" s="2"/>
      <c r="G11" s="4"/>
      <c r="H11" s="2" t="s">
        <v>185</v>
      </c>
      <c r="I11" s="2">
        <v>100</v>
      </c>
      <c r="J11" s="2">
        <f>('Lipiec - wydatki'!$I11-K13)</f>
        <v>100</v>
      </c>
      <c r="K11" s="5"/>
      <c r="M11" s="99" t="s">
        <v>187</v>
      </c>
      <c r="N11" s="100"/>
    </row>
    <row r="12" spans="1:18" x14ac:dyDescent="0.25">
      <c r="A12" s="4"/>
      <c r="B12" s="2"/>
      <c r="C12" s="2"/>
      <c r="D12" s="2"/>
      <c r="E12" s="5"/>
      <c r="F12" s="2"/>
      <c r="G12" s="4"/>
      <c r="H12" s="2" t="s">
        <v>186</v>
      </c>
      <c r="I12" s="2">
        <v>100</v>
      </c>
      <c r="J12" s="2">
        <f>('Lipiec - wydatki'!$I12-K14)</f>
        <v>100</v>
      </c>
      <c r="K12" s="5"/>
      <c r="M12" s="2" t="s">
        <v>48</v>
      </c>
      <c r="N12" s="2">
        <v>4100</v>
      </c>
      <c r="O12" s="2"/>
    </row>
    <row r="13" spans="1:18" x14ac:dyDescent="0.25">
      <c r="A13" s="4"/>
      <c r="B13" s="2"/>
      <c r="C13" s="2"/>
      <c r="D13" s="2"/>
      <c r="E13" s="5"/>
      <c r="F13" s="2"/>
      <c r="G13" s="4"/>
      <c r="H13" s="2" t="s">
        <v>189</v>
      </c>
      <c r="I13" s="2">
        <v>100</v>
      </c>
      <c r="J13" s="2">
        <f>('Lipiec - wydatki'!$I13-K15)</f>
        <v>100</v>
      </c>
      <c r="K13" s="5"/>
      <c r="M13" s="43" t="s">
        <v>59</v>
      </c>
      <c r="N13" s="43">
        <f>1650+377</f>
        <v>2027</v>
      </c>
      <c r="O13" s="2"/>
    </row>
    <row r="14" spans="1:18" x14ac:dyDescent="0.25">
      <c r="A14" s="4"/>
      <c r="B14" s="2"/>
      <c r="C14" s="2"/>
      <c r="D14" s="2"/>
      <c r="E14" s="5"/>
      <c r="F14" s="2"/>
      <c r="G14" s="4"/>
      <c r="H14" s="1" t="s">
        <v>191</v>
      </c>
      <c r="I14" s="9">
        <v>350</v>
      </c>
      <c r="J14" s="2">
        <f>(I14-K14)</f>
        <v>350</v>
      </c>
      <c r="K14" s="5"/>
      <c r="M14" s="2" t="s">
        <v>225</v>
      </c>
      <c r="N14" s="2">
        <v>1300</v>
      </c>
      <c r="O14" s="2"/>
      <c r="P14" s="9"/>
      <c r="Q14" s="9"/>
    </row>
    <row r="15" spans="1:18" x14ac:dyDescent="0.25">
      <c r="A15" s="4"/>
      <c r="B15" s="2"/>
      <c r="C15" s="2"/>
      <c r="D15" s="2"/>
      <c r="E15" s="5"/>
      <c r="F15" s="2"/>
      <c r="G15" s="4"/>
      <c r="H15" s="1"/>
      <c r="I15" s="1"/>
      <c r="J15" s="1"/>
      <c r="K15" s="5"/>
      <c r="M15" s="43" t="s">
        <v>143</v>
      </c>
      <c r="N15" s="43">
        <v>0</v>
      </c>
      <c r="O15" s="2"/>
      <c r="P15" s="9"/>
      <c r="Q15" s="9"/>
    </row>
    <row r="16" spans="1:18" x14ac:dyDescent="0.25">
      <c r="A16" s="4"/>
      <c r="B16" s="2"/>
      <c r="C16" s="2"/>
      <c r="D16" s="2"/>
      <c r="E16" s="5"/>
      <c r="F16" s="2"/>
      <c r="G16" s="4"/>
      <c r="H16" s="2"/>
      <c r="I16" s="2"/>
      <c r="J16" s="2"/>
      <c r="K16" s="5"/>
      <c r="M16" s="2" t="s">
        <v>191</v>
      </c>
      <c r="N16" s="2">
        <v>350</v>
      </c>
      <c r="O16" s="2"/>
      <c r="P16" s="9"/>
      <c r="Q16" s="9"/>
    </row>
    <row r="17" spans="1:17" x14ac:dyDescent="0.25">
      <c r="A17" s="44"/>
      <c r="B17" s="45" t="s">
        <v>41</v>
      </c>
      <c r="C17" s="45">
        <f t="shared" ref="C17:E17" si="1">SUM(C3:C15)</f>
        <v>2331</v>
      </c>
      <c r="D17" s="45">
        <f t="shared" si="1"/>
        <v>0</v>
      </c>
      <c r="E17" s="47">
        <f t="shared" si="1"/>
        <v>2331</v>
      </c>
      <c r="F17" s="2"/>
      <c r="G17" s="44"/>
      <c r="H17" s="45" t="s">
        <v>41</v>
      </c>
      <c r="I17" s="45">
        <f t="shared" ref="I17:K17" si="2">SUM(I3:I16)</f>
        <v>5658.5</v>
      </c>
      <c r="J17" s="45">
        <f t="shared" si="2"/>
        <v>5658.5</v>
      </c>
      <c r="K17" s="47">
        <f t="shared" si="2"/>
        <v>0</v>
      </c>
      <c r="L17" s="9"/>
      <c r="M17" s="43" t="s">
        <v>47</v>
      </c>
      <c r="N17" s="43"/>
      <c r="O17" s="2"/>
      <c r="P17" s="9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2" t="s">
        <v>195</v>
      </c>
      <c r="N18" s="2"/>
      <c r="O18" s="2"/>
      <c r="P18" s="9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4"/>
      <c r="K19" s="48" t="s">
        <v>41</v>
      </c>
      <c r="L19" s="9"/>
      <c r="M19" s="43" t="s">
        <v>192</v>
      </c>
      <c r="N19" s="43"/>
      <c r="O19" s="2"/>
      <c r="P19" s="9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2" t="s">
        <v>13</v>
      </c>
      <c r="K20" s="49" t="s">
        <v>198</v>
      </c>
      <c r="L20" s="9"/>
      <c r="M20" s="2" t="s">
        <v>186</v>
      </c>
      <c r="N20" s="2"/>
      <c r="O20" s="2"/>
      <c r="P20" s="9"/>
      <c r="Q20" s="9"/>
    </row>
    <row r="21" spans="1:17" ht="15.75" customHeight="1" x14ac:dyDescent="0.25">
      <c r="A21" s="4"/>
      <c r="B21" s="2" t="s">
        <v>199</v>
      </c>
      <c r="C21" s="2">
        <v>400</v>
      </c>
      <c r="D21" s="2">
        <f t="shared" ref="D21:D24" si="3">(C21-E21)</f>
        <v>-5.6843418860808015E-14</v>
      </c>
      <c r="E21" s="5">
        <f>(186+16.14+49+8.88+9.18+61.11+5.49+3.5+24.12+9.98+3.99+24.99-2.38)</f>
        <v>400.00000000000006</v>
      </c>
      <c r="F21" s="2"/>
      <c r="G21" s="4" t="s">
        <v>199</v>
      </c>
      <c r="H21" s="2">
        <v>200</v>
      </c>
      <c r="I21" s="2">
        <f t="shared" ref="I21:I24" si="4">(H21-J21)</f>
        <v>100</v>
      </c>
      <c r="J21" s="2">
        <v>100</v>
      </c>
      <c r="K21" s="54">
        <f>('Lipiec - wydatki'!$D21+'Lipiec - wydatki'!$I21)</f>
        <v>99.999999999999943</v>
      </c>
      <c r="L21" s="9"/>
      <c r="M21" s="43" t="s">
        <v>61</v>
      </c>
      <c r="N21" s="43">
        <f>1919+175</f>
        <v>2094</v>
      </c>
      <c r="O21" s="2"/>
    </row>
    <row r="22" spans="1:17" ht="15.75" customHeight="1" x14ac:dyDescent="0.25">
      <c r="A22" s="4"/>
      <c r="B22" s="2" t="s">
        <v>200</v>
      </c>
      <c r="C22" s="2">
        <v>200</v>
      </c>
      <c r="D22" s="2">
        <f t="shared" si="3"/>
        <v>2.8421709430404007E-14</v>
      </c>
      <c r="E22" s="5">
        <f>(32.68+20.45+10.3+14.54+17.51+2.38+15.13+72.72+14.29)</f>
        <v>199.99999999999997</v>
      </c>
      <c r="F22" s="2"/>
      <c r="G22" s="4" t="s">
        <v>200</v>
      </c>
      <c r="H22" s="2">
        <v>200</v>
      </c>
      <c r="I22" s="2">
        <f t="shared" si="4"/>
        <v>200</v>
      </c>
      <c r="J22" s="2">
        <f t="shared" ref="J22:J24" si="5">(0)</f>
        <v>0</v>
      </c>
      <c r="K22" s="49">
        <f>('Lipiec - wydatki'!$D22+'Lipiec - wydatki'!$I22)</f>
        <v>200.00000000000003</v>
      </c>
      <c r="L22" s="9"/>
      <c r="M22" s="52" t="s">
        <v>236</v>
      </c>
      <c r="N22" s="52">
        <v>825</v>
      </c>
    </row>
    <row r="23" spans="1:17" ht="15.75" customHeight="1" x14ac:dyDescent="0.25">
      <c r="A23" s="4"/>
      <c r="B23" s="2" t="s">
        <v>201</v>
      </c>
      <c r="C23" s="2">
        <v>200</v>
      </c>
      <c r="D23" s="2">
        <f t="shared" si="3"/>
        <v>0</v>
      </c>
      <c r="E23" s="5">
        <v>200</v>
      </c>
      <c r="F23" s="2"/>
      <c r="G23" s="4" t="s">
        <v>201</v>
      </c>
      <c r="H23" s="2">
        <v>200</v>
      </c>
      <c r="I23" s="2">
        <f t="shared" si="4"/>
        <v>200</v>
      </c>
      <c r="J23" s="2">
        <f t="shared" si="5"/>
        <v>0</v>
      </c>
      <c r="K23" s="54">
        <f>('Lipiec - wydatki'!$D23+'Lipiec - wydatki'!$I23)</f>
        <v>200</v>
      </c>
      <c r="L23" s="9"/>
      <c r="M23" s="9"/>
    </row>
    <row r="24" spans="1:17" ht="15.75" customHeight="1" x14ac:dyDescent="0.25">
      <c r="A24" s="4"/>
      <c r="B24" s="2" t="s">
        <v>202</v>
      </c>
      <c r="C24" s="2">
        <v>0</v>
      </c>
      <c r="D24" s="2">
        <f t="shared" si="3"/>
        <v>0</v>
      </c>
      <c r="E24" s="5"/>
      <c r="F24" s="2"/>
      <c r="G24" s="4" t="s">
        <v>202</v>
      </c>
      <c r="H24" s="2">
        <v>200</v>
      </c>
      <c r="I24" s="2">
        <f t="shared" si="4"/>
        <v>200</v>
      </c>
      <c r="J24" s="2">
        <f t="shared" si="5"/>
        <v>0</v>
      </c>
      <c r="K24" s="49">
        <f>('Lipiec - wydatki'!$D24+'Lipiec - wydatki'!$I24)</f>
        <v>200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800</v>
      </c>
      <c r="D25" s="45">
        <f t="shared" ref="D25:E25" si="6">SUM(D21:D24)</f>
        <v>-2.8421709430404007E-14</v>
      </c>
      <c r="E25" s="47">
        <f t="shared" si="6"/>
        <v>800</v>
      </c>
      <c r="F25" s="2"/>
      <c r="G25" s="44" t="s">
        <v>203</v>
      </c>
      <c r="H25" s="45">
        <f t="shared" ref="H25:J25" si="7">SUM(H21:H24)</f>
        <v>800</v>
      </c>
      <c r="I25" s="45">
        <f t="shared" si="7"/>
        <v>700</v>
      </c>
      <c r="J25" s="45">
        <f t="shared" si="7"/>
        <v>100</v>
      </c>
      <c r="K25" s="55">
        <f>('Lipiec - wydatki'!$D25+'Lipiec - wydatki'!$I25)</f>
        <v>700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 t="s">
        <v>62</v>
      </c>
      <c r="C29" s="2">
        <v>0</v>
      </c>
      <c r="D29" s="2">
        <v>0</v>
      </c>
      <c r="E29" s="5">
        <v>200</v>
      </c>
      <c r="F29" s="2"/>
      <c r="G29" s="4"/>
      <c r="H29" s="2" t="s">
        <v>61</v>
      </c>
      <c r="I29" s="2">
        <v>400</v>
      </c>
      <c r="J29" s="2">
        <f>'Lipiec - wydatki'!$I29-K29</f>
        <v>400</v>
      </c>
      <c r="K29" s="5">
        <f t="shared" ref="K29:K31" si="8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'Lipiec - wydatki'!$C30-E30</f>
        <v>0</v>
      </c>
      <c r="E30" s="5">
        <f>268+232</f>
        <v>500</v>
      </c>
      <c r="F30" s="2"/>
      <c r="G30" s="4"/>
      <c r="H30" s="2" t="s">
        <v>208</v>
      </c>
      <c r="I30" s="2">
        <v>500</v>
      </c>
      <c r="J30" s="2">
        <f>'Lipiec - wydatki'!$I30-K30</f>
        <v>500</v>
      </c>
      <c r="K30" s="5">
        <f t="shared" si="8"/>
        <v>0</v>
      </c>
      <c r="L30" s="9"/>
      <c r="M30" s="9"/>
    </row>
    <row r="31" spans="1:17" ht="15.75" customHeight="1" x14ac:dyDescent="0.25">
      <c r="A31" s="4"/>
      <c r="B31" s="9" t="s">
        <v>225</v>
      </c>
      <c r="C31" s="9">
        <v>400</v>
      </c>
      <c r="D31" s="2">
        <f>'Lipiec - wydatki'!$C31-E31</f>
        <v>0</v>
      </c>
      <c r="E31" s="5">
        <v>400</v>
      </c>
      <c r="F31" s="2"/>
      <c r="G31" s="4"/>
      <c r="H31" s="2" t="s">
        <v>245</v>
      </c>
      <c r="I31" s="2">
        <v>93.5</v>
      </c>
      <c r="J31" s="2">
        <f>'Lipiec - wydatki'!$I31-K31</f>
        <v>93.5</v>
      </c>
      <c r="K31" s="5">
        <f t="shared" si="8"/>
        <v>0</v>
      </c>
      <c r="L31" s="9"/>
      <c r="M31" s="9"/>
    </row>
    <row r="32" spans="1:17" ht="15.75" customHeight="1" x14ac:dyDescent="0.25">
      <c r="A32" s="4"/>
      <c r="B32" s="2"/>
      <c r="C32" s="2"/>
      <c r="D32" s="2"/>
      <c r="E32" s="5"/>
      <c r="F32" s="2"/>
      <c r="G32" s="4"/>
      <c r="H32" s="2" t="s">
        <v>59</v>
      </c>
      <c r="I32" s="2">
        <v>377</v>
      </c>
      <c r="J32" s="2">
        <v>377</v>
      </c>
      <c r="K32" s="5">
        <v>0</v>
      </c>
    </row>
    <row r="33" spans="1:11" ht="15.75" customHeight="1" x14ac:dyDescent="0.25">
      <c r="A33" s="44"/>
      <c r="B33" s="45" t="s">
        <v>203</v>
      </c>
      <c r="C33" s="45">
        <f t="shared" ref="C33:E33" si="9">SUM(C29:C32)</f>
        <v>900</v>
      </c>
      <c r="D33" s="45">
        <f t="shared" si="9"/>
        <v>0</v>
      </c>
      <c r="E33" s="45">
        <f t="shared" si="9"/>
        <v>1100</v>
      </c>
      <c r="F33" s="2"/>
      <c r="G33" s="44"/>
      <c r="H33" s="45" t="s">
        <v>203</v>
      </c>
      <c r="I33" s="45">
        <f t="shared" ref="I33:K33" si="10">SUM(I29:I32)</f>
        <v>1370.5</v>
      </c>
      <c r="J33" s="45">
        <f t="shared" si="10"/>
        <v>1370.5</v>
      </c>
      <c r="K33" s="45">
        <f t="shared" si="10"/>
        <v>0</v>
      </c>
    </row>
    <row r="34" spans="1:11" ht="15.75" customHeight="1" x14ac:dyDescent="0.25">
      <c r="A34" s="2"/>
      <c r="B34" s="34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98" t="s">
        <v>217</v>
      </c>
      <c r="B35" s="96"/>
      <c r="C35" s="96"/>
      <c r="D35" s="96"/>
      <c r="E35" s="97"/>
      <c r="F35" s="2"/>
      <c r="G35" s="95" t="s">
        <v>218</v>
      </c>
      <c r="H35" s="96"/>
      <c r="I35" s="96"/>
      <c r="J35" s="96"/>
      <c r="K35" s="97"/>
    </row>
    <row r="36" spans="1:11" ht="15.75" customHeight="1" x14ac:dyDescent="0.25">
      <c r="A36" s="4"/>
      <c r="B36" s="2"/>
      <c r="C36" s="2" t="s">
        <v>11</v>
      </c>
      <c r="D36" s="2" t="s">
        <v>12</v>
      </c>
      <c r="E36" s="5" t="s">
        <v>13</v>
      </c>
      <c r="F36" s="2"/>
      <c r="G36" s="4"/>
      <c r="H36" s="2"/>
      <c r="I36" s="2" t="s">
        <v>11</v>
      </c>
      <c r="J36" s="2" t="s">
        <v>12</v>
      </c>
      <c r="K36" s="5" t="s">
        <v>13</v>
      </c>
    </row>
    <row r="37" spans="1:11" ht="15.75" customHeight="1" x14ac:dyDescent="0.25">
      <c r="A37" s="44"/>
      <c r="B37" s="45"/>
      <c r="C37" s="45">
        <f t="shared" ref="C37:F37" si="11">C17+C25+C33</f>
        <v>4031</v>
      </c>
      <c r="D37" s="45">
        <f t="shared" si="11"/>
        <v>-2.8421709430404007E-14</v>
      </c>
      <c r="E37" s="47">
        <f t="shared" si="11"/>
        <v>4231</v>
      </c>
      <c r="F37" s="2">
        <f t="shared" si="11"/>
        <v>0</v>
      </c>
      <c r="G37" s="44"/>
      <c r="H37" s="45"/>
      <c r="I37" s="45">
        <f t="shared" ref="I37:K37" si="12">I17+H25+I33</f>
        <v>7829</v>
      </c>
      <c r="J37" s="45">
        <f t="shared" si="12"/>
        <v>7729</v>
      </c>
      <c r="K37" s="47">
        <f t="shared" si="12"/>
        <v>100</v>
      </c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>
      <c r="A42" s="1" t="s">
        <v>229</v>
      </c>
      <c r="B42" s="1">
        <v>1919</v>
      </c>
    </row>
    <row r="43" spans="1:11" ht="15.75" customHeight="1" x14ac:dyDescent="0.25">
      <c r="A43" s="1" t="s">
        <v>230</v>
      </c>
      <c r="B43" s="1">
        <v>47</v>
      </c>
    </row>
    <row r="44" spans="1:11" ht="15.75" customHeight="1" x14ac:dyDescent="0.25">
      <c r="A44" s="1" t="s">
        <v>231</v>
      </c>
      <c r="B44" s="1">
        <v>400</v>
      </c>
    </row>
    <row r="45" spans="1:11" ht="15.75" customHeight="1" x14ac:dyDescent="0.25">
      <c r="A45" s="1" t="s">
        <v>232</v>
      </c>
      <c r="B45" s="1">
        <v>300</v>
      </c>
    </row>
    <row r="46" spans="1:11" ht="15.75" customHeight="1" x14ac:dyDescent="0.25">
      <c r="A46" s="1" t="s">
        <v>39</v>
      </c>
      <c r="B46" s="1">
        <v>700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35:E35"/>
    <mergeCell ref="G35:K35"/>
    <mergeCell ref="A1:E1"/>
    <mergeCell ref="G1:K1"/>
    <mergeCell ref="M11:N1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4" customWidth="1"/>
    <col min="14" max="16" width="12" customWidth="1"/>
    <col min="17" max="17" width="8.7109375" customWidth="1"/>
  </cols>
  <sheetData>
    <row r="1" spans="1:18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8" x14ac:dyDescent="0.25">
      <c r="A2" s="2" t="s">
        <v>171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171</v>
      </c>
      <c r="H2" s="2" t="s">
        <v>10</v>
      </c>
      <c r="I2" s="2" t="s">
        <v>11</v>
      </c>
      <c r="J2" s="2" t="s">
        <v>12</v>
      </c>
      <c r="K2" s="2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  <c r="R2" s="1" t="s">
        <v>175</v>
      </c>
    </row>
    <row r="3" spans="1:18" x14ac:dyDescent="0.25">
      <c r="A3" s="2"/>
      <c r="B3" s="2" t="s">
        <v>176</v>
      </c>
      <c r="C3" s="2">
        <v>75</v>
      </c>
      <c r="D3" s="2">
        <f>('Czerwiec - wydatki '!$C3-'Czerwiec - wydatki '!$E3)</f>
        <v>0</v>
      </c>
      <c r="E3" s="2">
        <v>75</v>
      </c>
      <c r="F3" s="2"/>
      <c r="G3" s="2"/>
      <c r="H3" s="2" t="s">
        <v>177</v>
      </c>
      <c r="I3" s="2">
        <v>3110</v>
      </c>
      <c r="J3" s="2">
        <f>('Czerwiec - wydatki '!$I3-K3)</f>
        <v>3110</v>
      </c>
      <c r="K3" s="2">
        <f>(0)</f>
        <v>0</v>
      </c>
      <c r="M3" s="2" t="s">
        <v>14</v>
      </c>
      <c r="N3" s="2">
        <v>4580</v>
      </c>
      <c r="O3" s="2">
        <f>C17</f>
        <v>1611</v>
      </c>
      <c r="P3" s="2">
        <f>C25</f>
        <v>750</v>
      </c>
      <c r="Q3" s="2"/>
    </row>
    <row r="4" spans="1:18" x14ac:dyDescent="0.25">
      <c r="A4" s="2"/>
      <c r="B4" s="2" t="s">
        <v>73</v>
      </c>
      <c r="C4" s="2">
        <v>30</v>
      </c>
      <c r="D4" s="2">
        <f>('Czerwiec - wydatki '!$C4-'Czerwiec - wydatki '!$E4)</f>
        <v>0</v>
      </c>
      <c r="E4" s="2">
        <v>30</v>
      </c>
      <c r="F4" s="2"/>
      <c r="G4" s="2"/>
      <c r="H4" s="2" t="s">
        <v>56</v>
      </c>
      <c r="I4" s="2">
        <v>130</v>
      </c>
      <c r="J4" s="2">
        <f>('Czerwiec - wydatki '!$I4-K4)</f>
        <v>130</v>
      </c>
      <c r="K4" s="2"/>
      <c r="M4" s="2" t="s">
        <v>17</v>
      </c>
      <c r="N4" s="2">
        <v>6850</v>
      </c>
      <c r="O4" s="2">
        <f>I17</f>
        <v>5611</v>
      </c>
      <c r="P4" s="2">
        <f>H25</f>
        <v>750</v>
      </c>
      <c r="Q4" s="2"/>
    </row>
    <row r="5" spans="1:18" x14ac:dyDescent="0.25">
      <c r="A5" s="2"/>
      <c r="B5" s="2" t="s">
        <v>24</v>
      </c>
      <c r="C5" s="2">
        <v>150</v>
      </c>
      <c r="D5" s="2">
        <f>('Czerwiec - wydatki '!$C5-'Czerwiec - wydatki '!$E5)</f>
        <v>0</v>
      </c>
      <c r="E5" s="2">
        <v>150</v>
      </c>
      <c r="F5" s="2"/>
      <c r="G5" s="2"/>
      <c r="H5" s="2" t="s">
        <v>51</v>
      </c>
      <c r="I5" s="2">
        <v>968</v>
      </c>
      <c r="J5" s="2">
        <f>('Czerwiec - wydatki '!$I5-K5)</f>
        <v>968</v>
      </c>
      <c r="K5" s="2"/>
      <c r="M5" s="2" t="s">
        <v>5</v>
      </c>
      <c r="N5" s="2">
        <f t="shared" ref="N5:P5" si="0">SUM(N3,N4)</f>
        <v>11430</v>
      </c>
      <c r="O5" s="2">
        <f t="shared" si="0"/>
        <v>7222</v>
      </c>
      <c r="P5" s="2">
        <f t="shared" si="0"/>
        <v>1500</v>
      </c>
      <c r="Q5" s="2">
        <f>(N5-O5-P5)</f>
        <v>2708</v>
      </c>
    </row>
    <row r="6" spans="1:18" x14ac:dyDescent="0.25">
      <c r="A6" s="2"/>
      <c r="B6" s="2" t="s">
        <v>178</v>
      </c>
      <c r="C6" s="2">
        <v>1000</v>
      </c>
      <c r="D6" s="2">
        <f>('Czerwiec - wydatki '!$C6-'Czerwiec - wydatki '!$E6)</f>
        <v>87</v>
      </c>
      <c r="E6" s="2">
        <f>(330+99+301+183)</f>
        <v>913</v>
      </c>
      <c r="F6" s="2"/>
      <c r="G6" s="2"/>
      <c r="H6" s="2" t="s">
        <v>243</v>
      </c>
      <c r="I6" s="2">
        <v>307</v>
      </c>
      <c r="J6" s="2">
        <f>('Czerwiec - wydatki '!$I6-K6)</f>
        <v>307</v>
      </c>
      <c r="K6" s="2"/>
      <c r="M6" s="42" t="s">
        <v>180</v>
      </c>
      <c r="N6" s="2" t="b">
        <f>C37+I37=N5</f>
        <v>1</v>
      </c>
      <c r="O6" s="2"/>
      <c r="P6" s="2"/>
      <c r="Q6" s="2"/>
    </row>
    <row r="7" spans="1:18" x14ac:dyDescent="0.25">
      <c r="A7" s="2"/>
      <c r="B7" s="2" t="s">
        <v>181</v>
      </c>
      <c r="C7" s="2">
        <v>56</v>
      </c>
      <c r="D7" s="2">
        <f>('Czerwiec - wydatki '!$C7-'Czerwiec - wydatki '!$E7)</f>
        <v>0</v>
      </c>
      <c r="E7" s="2">
        <v>56</v>
      </c>
      <c r="F7" s="2"/>
      <c r="G7" s="2"/>
      <c r="H7" s="2" t="s">
        <v>179</v>
      </c>
      <c r="I7" s="2">
        <v>128</v>
      </c>
      <c r="J7" s="2">
        <f>('Czerwiec - wydatki '!$I7-K7)</f>
        <v>128</v>
      </c>
      <c r="K7" s="2"/>
      <c r="L7" s="2"/>
      <c r="M7" s="2"/>
      <c r="N7" s="2"/>
      <c r="O7" s="2"/>
      <c r="P7" s="2"/>
      <c r="Q7" s="9"/>
    </row>
    <row r="8" spans="1:18" x14ac:dyDescent="0.25">
      <c r="A8" s="2"/>
      <c r="B8" s="2" t="s">
        <v>183</v>
      </c>
      <c r="C8" s="2">
        <v>100</v>
      </c>
      <c r="D8" s="2">
        <f>'Czerwiec - wydatki '!$C8-E8</f>
        <v>8.7000000000000028</v>
      </c>
      <c r="E8" s="2">
        <f>(49+12+13.3+17)</f>
        <v>91.3</v>
      </c>
      <c r="F8" s="2"/>
      <c r="G8" s="2"/>
      <c r="H8" s="2" t="s">
        <v>182</v>
      </c>
      <c r="I8" s="2">
        <v>44</v>
      </c>
      <c r="J8" s="2">
        <f>('Czerwiec - wydatki '!$I8-K8)</f>
        <v>44</v>
      </c>
      <c r="K8" s="2"/>
      <c r="L8" s="2"/>
      <c r="M8" s="2"/>
      <c r="N8" s="2"/>
      <c r="O8" s="2"/>
      <c r="P8" s="2"/>
      <c r="Q8" s="9"/>
    </row>
    <row r="9" spans="1:18" x14ac:dyDescent="0.25">
      <c r="A9" s="2"/>
      <c r="B9" s="2" t="s">
        <v>184</v>
      </c>
      <c r="C9" s="2">
        <v>200</v>
      </c>
      <c r="D9" s="2">
        <f>('Czerwiec - wydatki '!$C9-'Czerwiec - wydatki '!$E9)</f>
        <v>0</v>
      </c>
      <c r="E9" s="2">
        <v>200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9"/>
    </row>
    <row r="10" spans="1:18" x14ac:dyDescent="0.25">
      <c r="A10" s="2"/>
      <c r="B10" s="2"/>
      <c r="C10" s="2"/>
      <c r="D10" s="2"/>
      <c r="E10" s="2"/>
      <c r="F10" s="2"/>
      <c r="G10" s="2"/>
      <c r="H10" s="2" t="s">
        <v>192</v>
      </c>
      <c r="I10" s="2">
        <v>300</v>
      </c>
      <c r="J10" s="2">
        <f>('Czerwiec - wydatki '!$I10-K10)</f>
        <v>300</v>
      </c>
      <c r="K10" s="2"/>
      <c r="L10" s="2"/>
      <c r="M10" s="2"/>
      <c r="N10" s="2"/>
      <c r="O10" s="2"/>
      <c r="P10" s="2"/>
      <c r="Q10" s="9"/>
    </row>
    <row r="11" spans="1:18" ht="13.5" customHeight="1" x14ac:dyDescent="0.25">
      <c r="A11" s="2"/>
      <c r="B11" s="2"/>
      <c r="C11" s="2"/>
      <c r="D11" s="2"/>
      <c r="E11" s="2"/>
      <c r="F11" s="2"/>
      <c r="G11" s="2"/>
      <c r="H11" s="2" t="s">
        <v>52</v>
      </c>
      <c r="I11" s="2">
        <v>200</v>
      </c>
      <c r="J11" s="2">
        <f>('Czerwiec - wydatki '!$I11-K11)</f>
        <v>200</v>
      </c>
      <c r="K11" s="2"/>
    </row>
    <row r="12" spans="1:18" x14ac:dyDescent="0.25">
      <c r="A12" s="2"/>
      <c r="B12" s="2"/>
      <c r="C12" s="2"/>
      <c r="D12" s="2"/>
      <c r="E12" s="2"/>
      <c r="F12" s="2"/>
      <c r="G12" s="2"/>
      <c r="H12" s="2" t="s">
        <v>54</v>
      </c>
      <c r="I12" s="2">
        <v>139</v>
      </c>
      <c r="J12" s="2">
        <f>('Czerwiec - wydatki '!$I12-K12)</f>
        <v>139</v>
      </c>
      <c r="K12" s="2"/>
    </row>
    <row r="13" spans="1:18" x14ac:dyDescent="0.25">
      <c r="A13" s="2"/>
      <c r="B13" s="2"/>
      <c r="C13" s="2"/>
      <c r="D13" s="2"/>
      <c r="E13" s="2"/>
      <c r="F13" s="2"/>
      <c r="G13" s="2"/>
      <c r="H13" s="2" t="s">
        <v>185</v>
      </c>
      <c r="I13" s="2">
        <v>50</v>
      </c>
      <c r="J13" s="2">
        <f>('Czerwiec - wydatki '!$I13-K13)</f>
        <v>50</v>
      </c>
      <c r="K13" s="2"/>
      <c r="M13" s="1"/>
    </row>
    <row r="14" spans="1:18" x14ac:dyDescent="0.25">
      <c r="A14" s="2"/>
      <c r="B14" s="2"/>
      <c r="C14" s="2"/>
      <c r="D14" s="2"/>
      <c r="E14" s="2"/>
      <c r="F14" s="2"/>
      <c r="G14" s="2"/>
      <c r="H14" s="2" t="s">
        <v>186</v>
      </c>
      <c r="I14" s="2">
        <v>100</v>
      </c>
      <c r="J14" s="2">
        <f>('Czerwiec - wydatki '!$I14-K14)</f>
        <v>100</v>
      </c>
      <c r="K14" s="2"/>
      <c r="N14" s="9"/>
      <c r="O14" s="9"/>
      <c r="P14" s="9"/>
      <c r="Q14" s="9"/>
    </row>
    <row r="15" spans="1:18" x14ac:dyDescent="0.25">
      <c r="A15" s="2"/>
      <c r="B15" s="2"/>
      <c r="C15" s="2"/>
      <c r="D15" s="2"/>
      <c r="E15" s="2"/>
      <c r="F15" s="2"/>
      <c r="G15" s="2"/>
      <c r="H15" s="2" t="s">
        <v>189</v>
      </c>
      <c r="I15" s="2">
        <v>100</v>
      </c>
      <c r="J15" s="2">
        <f>('Czerwiec - wydatki '!$I15-K15)</f>
        <v>100</v>
      </c>
      <c r="K15" s="2"/>
      <c r="N15" s="9"/>
      <c r="O15" s="9"/>
      <c r="P15" s="9"/>
      <c r="Q15" s="9"/>
    </row>
    <row r="16" spans="1:18" x14ac:dyDescent="0.25">
      <c r="A16" s="2"/>
      <c r="B16" s="2"/>
      <c r="C16" s="2"/>
      <c r="D16" s="2"/>
      <c r="E16" s="2"/>
      <c r="F16" s="2"/>
      <c r="G16" s="2"/>
      <c r="H16" s="2" t="s">
        <v>246</v>
      </c>
      <c r="I16" s="2">
        <v>35</v>
      </c>
      <c r="J16" s="2">
        <v>35</v>
      </c>
      <c r="K16" s="2"/>
      <c r="N16" s="9"/>
      <c r="O16" s="9"/>
      <c r="P16" s="9"/>
      <c r="Q16" s="9"/>
    </row>
    <row r="17" spans="1:17" x14ac:dyDescent="0.25">
      <c r="A17" s="2"/>
      <c r="B17" s="2" t="s">
        <v>41</v>
      </c>
      <c r="C17" s="2">
        <f t="shared" ref="C17:E17" si="1">SUM(C3:C15)</f>
        <v>1611</v>
      </c>
      <c r="D17" s="2">
        <f t="shared" si="1"/>
        <v>95.7</v>
      </c>
      <c r="E17" s="45">
        <f t="shared" si="1"/>
        <v>1515.3</v>
      </c>
      <c r="F17" s="2"/>
      <c r="G17" s="2"/>
      <c r="H17" s="2" t="s">
        <v>41</v>
      </c>
      <c r="I17" s="2">
        <f t="shared" ref="I17:K17" si="2">SUM(I3:I16)</f>
        <v>5611</v>
      </c>
      <c r="J17" s="2">
        <f t="shared" si="2"/>
        <v>5611</v>
      </c>
      <c r="K17" s="2">
        <f t="shared" si="2"/>
        <v>0</v>
      </c>
      <c r="L17" s="9"/>
      <c r="M17" s="9"/>
      <c r="N17" s="9"/>
      <c r="O17" s="9"/>
      <c r="P17" s="9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9"/>
      <c r="N18" s="9"/>
      <c r="O18" s="9"/>
      <c r="P18" s="9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0"/>
      <c r="K19" s="48" t="s">
        <v>41</v>
      </c>
      <c r="L19" s="9"/>
      <c r="M19" s="9"/>
      <c r="N19" s="9"/>
      <c r="O19" s="9"/>
      <c r="P19" s="9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5" t="s">
        <v>13</v>
      </c>
      <c r="K20" s="56" t="s">
        <v>198</v>
      </c>
      <c r="L20" s="9"/>
      <c r="M20" s="9"/>
      <c r="N20" s="9"/>
      <c r="O20" s="9"/>
      <c r="P20" s="9"/>
      <c r="Q20" s="9"/>
    </row>
    <row r="21" spans="1:17" ht="15.75" customHeight="1" x14ac:dyDescent="0.25">
      <c r="A21" s="4"/>
      <c r="B21" s="2" t="s">
        <v>199</v>
      </c>
      <c r="C21" s="2" t="str">
        <f t="shared" ref="C21:C24" si="3">IMDIV(C$25,4)</f>
        <v>187,5</v>
      </c>
      <c r="D21" s="2">
        <f>(C21-E21)</f>
        <v>0</v>
      </c>
      <c r="E21" s="5">
        <f>12+12+16.29+7.2+75.44+64.57</f>
        <v>187.5</v>
      </c>
      <c r="F21" s="2"/>
      <c r="G21" s="4" t="s">
        <v>199</v>
      </c>
      <c r="H21" s="2" t="str">
        <f t="shared" ref="H21:H24" si="4">IMDIV(H$25,4)</f>
        <v>187,5</v>
      </c>
      <c r="I21" s="2">
        <f t="shared" ref="I21:I24" si="5">(H21-J21)</f>
        <v>187.5</v>
      </c>
      <c r="J21" s="5">
        <f t="shared" ref="J21:J24" si="6">(0)</f>
        <v>0</v>
      </c>
      <c r="K21" s="57">
        <f>('Czerwiec - wydatki '!$D21+'Czerwiec - wydatki '!$I21)</f>
        <v>187.5</v>
      </c>
      <c r="L21" s="9"/>
      <c r="M21" s="9"/>
    </row>
    <row r="22" spans="1:17" ht="15.75" customHeight="1" x14ac:dyDescent="0.25">
      <c r="A22" s="4"/>
      <c r="B22" s="2" t="s">
        <v>200</v>
      </c>
      <c r="C22" s="2" t="str">
        <f t="shared" si="3"/>
        <v>187,5</v>
      </c>
      <c r="D22" s="2">
        <v>0</v>
      </c>
      <c r="E22" s="5">
        <f>(22.26+5+25.5+23.03+30.29+55.22+2.79+1.9+4.58+8.94+7.99)</f>
        <v>187.50000000000003</v>
      </c>
      <c r="F22" s="2"/>
      <c r="G22" s="4" t="s">
        <v>200</v>
      </c>
      <c r="H22" s="2" t="str">
        <f t="shared" si="4"/>
        <v>187,5</v>
      </c>
      <c r="I22" s="2">
        <f t="shared" si="5"/>
        <v>187.5</v>
      </c>
      <c r="J22" s="5">
        <f t="shared" si="6"/>
        <v>0</v>
      </c>
      <c r="K22" s="56">
        <f>('Czerwiec - wydatki '!$D22+'Czerwiec - wydatki '!$I22)</f>
        <v>187.5</v>
      </c>
      <c r="L22" s="9"/>
      <c r="M22" s="9"/>
    </row>
    <row r="23" spans="1:17" ht="15.75" customHeight="1" x14ac:dyDescent="0.25">
      <c r="A23" s="4"/>
      <c r="B23" s="2" t="s">
        <v>201</v>
      </c>
      <c r="C23" s="2" t="str">
        <f t="shared" si="3"/>
        <v>187,5</v>
      </c>
      <c r="D23" s="2">
        <f t="shared" ref="D23:D24" si="7">(C23-E23)</f>
        <v>0</v>
      </c>
      <c r="E23" s="5">
        <f>(98+50+7.72+24+7.78)</f>
        <v>187.5</v>
      </c>
      <c r="F23" s="2"/>
      <c r="G23" s="4" t="s">
        <v>201</v>
      </c>
      <c r="H23" s="2" t="str">
        <f t="shared" si="4"/>
        <v>187,5</v>
      </c>
      <c r="I23" s="2">
        <f t="shared" si="5"/>
        <v>187.5</v>
      </c>
      <c r="J23" s="5">
        <f t="shared" si="6"/>
        <v>0</v>
      </c>
      <c r="K23" s="57">
        <f>('Czerwiec - wydatki '!$D23+'Czerwiec - wydatki '!$I23)</f>
        <v>187.5</v>
      </c>
      <c r="L23" s="9"/>
      <c r="M23" s="9"/>
    </row>
    <row r="24" spans="1:17" ht="15.75" customHeight="1" x14ac:dyDescent="0.25">
      <c r="A24" s="4"/>
      <c r="B24" s="2" t="s">
        <v>202</v>
      </c>
      <c r="C24" s="2" t="str">
        <f t="shared" si="3"/>
        <v>187,5</v>
      </c>
      <c r="D24" s="2">
        <f t="shared" si="7"/>
        <v>0</v>
      </c>
      <c r="E24" s="5">
        <f>(65+16+45+61.5)</f>
        <v>187.5</v>
      </c>
      <c r="F24" s="2"/>
      <c r="G24" s="4" t="s">
        <v>202</v>
      </c>
      <c r="H24" s="2" t="str">
        <f t="shared" si="4"/>
        <v>187,5</v>
      </c>
      <c r="I24" s="2">
        <f t="shared" si="5"/>
        <v>187.5</v>
      </c>
      <c r="J24" s="5">
        <f t="shared" si="6"/>
        <v>0</v>
      </c>
      <c r="K24" s="56">
        <f>('Czerwiec - wydatki '!$D24+'Czerwiec - wydatki '!$I24)</f>
        <v>187.5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750</v>
      </c>
      <c r="D25" s="45">
        <f t="shared" ref="D25:E25" si="8">SUM(D21:D24)</f>
        <v>0</v>
      </c>
      <c r="E25" s="47">
        <f t="shared" si="8"/>
        <v>750</v>
      </c>
      <c r="F25" s="2"/>
      <c r="G25" s="44" t="s">
        <v>203</v>
      </c>
      <c r="H25" s="45">
        <v>750</v>
      </c>
      <c r="I25" s="45">
        <f t="shared" ref="I25:J25" si="9">SUM(I21:I24)</f>
        <v>750</v>
      </c>
      <c r="J25" s="47">
        <f t="shared" si="9"/>
        <v>0</v>
      </c>
      <c r="K25" s="58">
        <f>('Czerwiec - wydatki '!$D25+'Czerwiec - wydatki '!$I25)</f>
        <v>750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 t="s">
        <v>247</v>
      </c>
      <c r="C29" s="2">
        <v>700</v>
      </c>
      <c r="D29" s="2">
        <f>C29-E29</f>
        <v>0</v>
      </c>
      <c r="E29" s="5">
        <v>700</v>
      </c>
      <c r="F29" s="2"/>
      <c r="G29" s="4"/>
      <c r="H29" s="2" t="s">
        <v>61</v>
      </c>
      <c r="I29" s="2">
        <v>500</v>
      </c>
      <c r="J29" s="2">
        <f>'Czerwiec - wydatki '!$I29-K29</f>
        <v>500</v>
      </c>
      <c r="K29" s="5">
        <f t="shared" ref="K29:K31" si="10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500</v>
      </c>
      <c r="D30" s="2">
        <f>'Czerwiec - wydatki '!$C30-E30</f>
        <v>0</v>
      </c>
      <c r="E30" s="5">
        <v>500</v>
      </c>
      <c r="F30" s="2"/>
      <c r="G30" s="4"/>
      <c r="H30" s="2" t="s">
        <v>208</v>
      </c>
      <c r="I30" s="2">
        <v>500</v>
      </c>
      <c r="J30" s="2">
        <f>'Czerwiec - wydatki '!$I30-K30</f>
        <v>500</v>
      </c>
      <c r="K30" s="5">
        <f t="shared" si="10"/>
        <v>0</v>
      </c>
      <c r="L30" s="9"/>
      <c r="M30" s="9"/>
    </row>
    <row r="31" spans="1:17" ht="15.75" customHeight="1" x14ac:dyDescent="0.25">
      <c r="A31" s="4"/>
      <c r="B31" s="2" t="s">
        <v>62</v>
      </c>
      <c r="C31" s="2">
        <v>200</v>
      </c>
      <c r="D31" s="2">
        <f>'Czerwiec - wydatki '!$C31-E31</f>
        <v>200</v>
      </c>
      <c r="E31" s="5"/>
      <c r="F31" s="2"/>
      <c r="G31" s="4"/>
      <c r="H31" s="2" t="s">
        <v>248</v>
      </c>
      <c r="I31" s="2">
        <v>16</v>
      </c>
      <c r="J31" s="2">
        <f>'Czerwiec - wydatki '!$I31-K31</f>
        <v>16</v>
      </c>
      <c r="K31" s="5">
        <f t="shared" si="10"/>
        <v>0</v>
      </c>
      <c r="L31" s="9"/>
      <c r="M31" s="9"/>
    </row>
    <row r="32" spans="1:17" ht="15.75" customHeight="1" x14ac:dyDescent="0.25">
      <c r="A32" s="4" t="s">
        <v>249</v>
      </c>
      <c r="B32" s="2" t="s">
        <v>250</v>
      </c>
      <c r="C32" s="2">
        <v>292</v>
      </c>
      <c r="D32" s="2">
        <f>'Czerwiec - wydatki '!$C32-E32</f>
        <v>59</v>
      </c>
      <c r="E32" s="5">
        <f>(233)</f>
        <v>233</v>
      </c>
      <c r="F32" s="2"/>
      <c r="G32" s="4"/>
      <c r="H32" s="2"/>
      <c r="I32" s="2"/>
      <c r="J32" s="2"/>
      <c r="K32" s="5"/>
    </row>
    <row r="33" spans="1:11" ht="15.75" customHeight="1" x14ac:dyDescent="0.25">
      <c r="A33" s="44"/>
      <c r="B33" s="45" t="s">
        <v>203</v>
      </c>
      <c r="C33" s="45">
        <f t="shared" ref="C33:E33" si="11">SUM(C29:C32)</f>
        <v>1692</v>
      </c>
      <c r="D33" s="45">
        <f t="shared" si="11"/>
        <v>259</v>
      </c>
      <c r="E33" s="45">
        <f t="shared" si="11"/>
        <v>1433</v>
      </c>
      <c r="F33" s="2"/>
      <c r="G33" s="44"/>
      <c r="H33" s="45" t="s">
        <v>203</v>
      </c>
      <c r="I33" s="45">
        <f t="shared" ref="I33:K33" si="12">SUM(I29:I32)</f>
        <v>1016</v>
      </c>
      <c r="J33" s="45">
        <f t="shared" si="12"/>
        <v>1016</v>
      </c>
      <c r="K33" s="45">
        <f t="shared" si="12"/>
        <v>0</v>
      </c>
    </row>
    <row r="34" spans="1:11" ht="15.75" customHeight="1" x14ac:dyDescent="0.25">
      <c r="A34" s="2"/>
      <c r="B34" s="34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98" t="s">
        <v>217</v>
      </c>
      <c r="B35" s="96"/>
      <c r="C35" s="96"/>
      <c r="D35" s="96"/>
      <c r="E35" s="97"/>
      <c r="F35" s="2"/>
      <c r="G35" s="95" t="s">
        <v>218</v>
      </c>
      <c r="H35" s="96"/>
      <c r="I35" s="96"/>
      <c r="J35" s="96"/>
      <c r="K35" s="97"/>
    </row>
    <row r="36" spans="1:11" ht="15.75" customHeight="1" x14ac:dyDescent="0.25">
      <c r="A36" s="4"/>
      <c r="B36" s="2"/>
      <c r="C36" s="2" t="s">
        <v>11</v>
      </c>
      <c r="D36" s="2" t="s">
        <v>12</v>
      </c>
      <c r="E36" s="5" t="s">
        <v>13</v>
      </c>
      <c r="F36" s="2"/>
      <c r="G36" s="4"/>
      <c r="H36" s="2"/>
      <c r="I36" s="2" t="s">
        <v>11</v>
      </c>
      <c r="J36" s="2" t="s">
        <v>12</v>
      </c>
      <c r="K36" s="5" t="s">
        <v>13</v>
      </c>
    </row>
    <row r="37" spans="1:11" ht="15.75" customHeight="1" x14ac:dyDescent="0.25">
      <c r="A37" s="44"/>
      <c r="B37" s="45"/>
      <c r="C37" s="45">
        <f t="shared" ref="C37:F37" si="13">C17+C25+C33</f>
        <v>4053</v>
      </c>
      <c r="D37" s="45">
        <f t="shared" si="13"/>
        <v>354.7</v>
      </c>
      <c r="E37" s="47">
        <f t="shared" si="13"/>
        <v>3698.3</v>
      </c>
      <c r="F37" s="2">
        <f t="shared" si="13"/>
        <v>0</v>
      </c>
      <c r="G37" s="44"/>
      <c r="H37" s="45"/>
      <c r="I37" s="45">
        <f t="shared" ref="I37:K37" si="14">I17+H25+I33</f>
        <v>7377</v>
      </c>
      <c r="J37" s="45">
        <f t="shared" si="14"/>
        <v>7377</v>
      </c>
      <c r="K37" s="47">
        <f t="shared" si="14"/>
        <v>0</v>
      </c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>
      <c r="A42" s="1" t="s">
        <v>229</v>
      </c>
      <c r="B42" s="1">
        <v>1919</v>
      </c>
    </row>
    <row r="43" spans="1:11" ht="15.75" customHeight="1" x14ac:dyDescent="0.25">
      <c r="A43" s="1" t="s">
        <v>230</v>
      </c>
      <c r="B43" s="1">
        <v>47</v>
      </c>
    </row>
    <row r="44" spans="1:11" ht="15.75" customHeight="1" x14ac:dyDescent="0.25">
      <c r="A44" s="1" t="s">
        <v>231</v>
      </c>
      <c r="B44" s="1">
        <v>400</v>
      </c>
    </row>
    <row r="45" spans="1:11" ht="15.75" customHeight="1" x14ac:dyDescent="0.25">
      <c r="A45" s="1" t="s">
        <v>232</v>
      </c>
      <c r="B45" s="1">
        <v>300</v>
      </c>
    </row>
    <row r="46" spans="1:11" ht="15.75" customHeight="1" x14ac:dyDescent="0.25">
      <c r="A46" s="1" t="s">
        <v>39</v>
      </c>
      <c r="B46" s="1">
        <v>700</v>
      </c>
    </row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5:E35"/>
    <mergeCell ref="G35:K35"/>
    <mergeCell ref="A1:E1"/>
    <mergeCell ref="G1:K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1000"/>
  <sheetViews>
    <sheetView workbookViewId="0">
      <selection sqref="A1:E1"/>
    </sheetView>
  </sheetViews>
  <sheetFormatPr defaultColWidth="14.42578125" defaultRowHeight="15" customHeight="1" x14ac:dyDescent="0.25"/>
  <cols>
    <col min="1" max="1" width="12" customWidth="1"/>
    <col min="2" max="2" width="12.7109375" customWidth="1"/>
    <col min="3" max="3" width="12.28515625" customWidth="1"/>
    <col min="4" max="4" width="12" customWidth="1"/>
    <col min="5" max="5" width="12.42578125" customWidth="1"/>
    <col min="6" max="6" width="0.42578125" customWidth="1"/>
    <col min="7" max="7" width="12" customWidth="1"/>
    <col min="8" max="8" width="12.7109375" customWidth="1"/>
    <col min="9" max="12" width="12" customWidth="1"/>
    <col min="13" max="13" width="14" customWidth="1"/>
    <col min="14" max="16" width="12" customWidth="1"/>
    <col min="17" max="17" width="8.7109375" customWidth="1"/>
  </cols>
  <sheetData>
    <row r="1" spans="1:17" x14ac:dyDescent="0.25">
      <c r="A1" s="98" t="s">
        <v>1</v>
      </c>
      <c r="B1" s="96"/>
      <c r="C1" s="96"/>
      <c r="D1" s="96"/>
      <c r="E1" s="97"/>
      <c r="F1" s="2"/>
      <c r="G1" s="95" t="s">
        <v>2</v>
      </c>
      <c r="H1" s="96"/>
      <c r="I1" s="96"/>
      <c r="J1" s="96"/>
      <c r="K1" s="97"/>
      <c r="L1" s="2"/>
      <c r="M1" s="2"/>
      <c r="N1" s="2"/>
      <c r="O1" s="2"/>
      <c r="P1" s="2"/>
    </row>
    <row r="2" spans="1:17" x14ac:dyDescent="0.25">
      <c r="A2" s="2" t="s">
        <v>171</v>
      </c>
      <c r="B2" s="2" t="s">
        <v>10</v>
      </c>
      <c r="C2" s="2" t="s">
        <v>11</v>
      </c>
      <c r="D2" s="2" t="s">
        <v>12</v>
      </c>
      <c r="E2" s="2" t="s">
        <v>13</v>
      </c>
      <c r="F2" s="2"/>
      <c r="G2" s="2" t="s">
        <v>171</v>
      </c>
      <c r="H2" s="2" t="s">
        <v>10</v>
      </c>
      <c r="I2" s="2" t="s">
        <v>11</v>
      </c>
      <c r="J2" s="2" t="s">
        <v>12</v>
      </c>
      <c r="K2" s="2" t="s">
        <v>13</v>
      </c>
      <c r="M2" s="2"/>
      <c r="N2" s="2" t="s">
        <v>172</v>
      </c>
      <c r="O2" s="2" t="s">
        <v>6</v>
      </c>
      <c r="P2" s="2" t="s">
        <v>173</v>
      </c>
      <c r="Q2" s="2" t="s">
        <v>174</v>
      </c>
    </row>
    <row r="3" spans="1:17" x14ac:dyDescent="0.25">
      <c r="A3" s="2"/>
      <c r="B3" s="2" t="s">
        <v>176</v>
      </c>
      <c r="C3" s="2">
        <v>75</v>
      </c>
      <c r="D3" s="2">
        <f>('Maj - wydatki'!$C3-'Maj - wydatki'!$E3)</f>
        <v>0</v>
      </c>
      <c r="E3" s="2">
        <f>(75)</f>
        <v>75</v>
      </c>
      <c r="F3" s="2"/>
      <c r="G3" s="2"/>
      <c r="H3" s="2" t="s">
        <v>177</v>
      </c>
      <c r="I3" s="2">
        <v>3110</v>
      </c>
      <c r="J3" s="2">
        <f>('Maj - wydatki'!$I3-K3)</f>
        <v>3110</v>
      </c>
      <c r="K3" s="2">
        <f t="shared" ref="K3:K4" si="0">(0)</f>
        <v>0</v>
      </c>
      <c r="M3" s="2" t="s">
        <v>14</v>
      </c>
      <c r="N3" s="2">
        <v>3957</v>
      </c>
      <c r="O3" s="2">
        <f>C17</f>
        <v>1366</v>
      </c>
      <c r="P3" s="2">
        <f>C25</f>
        <v>750</v>
      </c>
      <c r="Q3" s="2"/>
    </row>
    <row r="4" spans="1:17" x14ac:dyDescent="0.25">
      <c r="A4" s="2"/>
      <c r="B4" s="2" t="s">
        <v>73</v>
      </c>
      <c r="C4" s="2">
        <v>30</v>
      </c>
      <c r="D4" s="2">
        <f>('Maj - wydatki'!$C4-'Maj - wydatki'!$E4)</f>
        <v>0</v>
      </c>
      <c r="E4" s="2">
        <f>(30)</f>
        <v>30</v>
      </c>
      <c r="F4" s="2"/>
      <c r="G4" s="2"/>
      <c r="H4" s="2" t="s">
        <v>56</v>
      </c>
      <c r="I4" s="2">
        <v>130</v>
      </c>
      <c r="J4" s="2">
        <f>('Maj - wydatki'!$I4-K4)</f>
        <v>130</v>
      </c>
      <c r="K4" s="2">
        <f t="shared" si="0"/>
        <v>0</v>
      </c>
      <c r="M4" s="2" t="s">
        <v>17</v>
      </c>
      <c r="N4" s="2">
        <v>5390</v>
      </c>
      <c r="O4" s="2">
        <f>I17</f>
        <v>5965</v>
      </c>
      <c r="P4" s="2">
        <f>H25</f>
        <v>750</v>
      </c>
      <c r="Q4" s="2"/>
    </row>
    <row r="5" spans="1:17" x14ac:dyDescent="0.25">
      <c r="A5" s="2"/>
      <c r="B5" s="2" t="s">
        <v>24</v>
      </c>
      <c r="C5" s="2">
        <v>200</v>
      </c>
      <c r="D5" s="2">
        <f>('Maj - wydatki'!$C5-'Maj - wydatki'!$E5)</f>
        <v>0</v>
      </c>
      <c r="E5" s="2">
        <f>(200)</f>
        <v>200</v>
      </c>
      <c r="F5" s="2"/>
      <c r="G5" s="2"/>
      <c r="H5" s="2" t="s">
        <v>51</v>
      </c>
      <c r="I5" s="2">
        <v>996</v>
      </c>
      <c r="J5" s="2">
        <f>('Maj - wydatki'!$I5-K5)</f>
        <v>0</v>
      </c>
      <c r="K5" s="2">
        <v>996</v>
      </c>
      <c r="M5" s="2" t="s">
        <v>5</v>
      </c>
      <c r="N5" s="2">
        <f t="shared" ref="N5:P5" si="1">SUM(N3,N4)</f>
        <v>9347</v>
      </c>
      <c r="O5" s="2">
        <f t="shared" si="1"/>
        <v>7331</v>
      </c>
      <c r="P5" s="2">
        <f t="shared" si="1"/>
        <v>1500</v>
      </c>
      <c r="Q5" s="2">
        <f>(N5-O5-P5)</f>
        <v>516</v>
      </c>
    </row>
    <row r="6" spans="1:17" x14ac:dyDescent="0.25">
      <c r="A6" s="2"/>
      <c r="B6" s="2" t="s">
        <v>178</v>
      </c>
      <c r="C6" s="2">
        <v>705</v>
      </c>
      <c r="D6" s="2">
        <f>('Maj - wydatki'!$C6-'Maj - wydatki'!$E6)</f>
        <v>279</v>
      </c>
      <c r="E6" s="2">
        <f>90+260+76</f>
        <v>426</v>
      </c>
      <c r="F6" s="2"/>
      <c r="G6" s="2"/>
      <c r="H6" s="2" t="s">
        <v>243</v>
      </c>
      <c r="I6" s="2">
        <v>373</v>
      </c>
      <c r="J6" s="2">
        <f>('Maj - wydatki'!$I6-K6)</f>
        <v>19</v>
      </c>
      <c r="K6" s="2">
        <f>354</f>
        <v>354</v>
      </c>
      <c r="M6" s="42" t="s">
        <v>180</v>
      </c>
      <c r="N6" s="2" t="b">
        <f>C37+I37=N5</f>
        <v>0</v>
      </c>
      <c r="O6" s="2"/>
      <c r="P6" s="2"/>
      <c r="Q6" s="2"/>
    </row>
    <row r="7" spans="1:17" x14ac:dyDescent="0.25">
      <c r="A7" s="2"/>
      <c r="B7" s="2" t="s">
        <v>181</v>
      </c>
      <c r="C7" s="2">
        <v>56</v>
      </c>
      <c r="D7" s="2">
        <f>('Maj - wydatki'!$C7-'Maj - wydatki'!$E7)</f>
        <v>0</v>
      </c>
      <c r="E7" s="2">
        <f>56</f>
        <v>56</v>
      </c>
      <c r="F7" s="2"/>
      <c r="G7" s="2"/>
      <c r="H7" s="2" t="s">
        <v>179</v>
      </c>
      <c r="I7" s="2">
        <v>128</v>
      </c>
      <c r="J7" s="2">
        <f>('Maj - wydatki'!$I7-K7)</f>
        <v>128</v>
      </c>
      <c r="K7" s="2">
        <f t="shared" ref="K7:K15" si="2">(0)</f>
        <v>0</v>
      </c>
      <c r="L7" s="2"/>
      <c r="M7" s="2"/>
      <c r="N7" s="2"/>
      <c r="O7" s="2"/>
      <c r="P7" s="2"/>
      <c r="Q7" s="9"/>
    </row>
    <row r="8" spans="1:17" x14ac:dyDescent="0.25">
      <c r="A8" s="2"/>
      <c r="B8" s="2" t="s">
        <v>183</v>
      </c>
      <c r="C8" s="2">
        <v>100</v>
      </c>
      <c r="D8" s="2">
        <f>('Maj - wydatki'!$C8-'Maj - wydatki'!$E8)</f>
        <v>1.4210854715202004E-14</v>
      </c>
      <c r="E8" s="2">
        <f>46.26+28+25.74</f>
        <v>99.999999999999986</v>
      </c>
      <c r="F8" s="2"/>
      <c r="G8" s="2"/>
      <c r="H8" s="2" t="s">
        <v>182</v>
      </c>
      <c r="I8" s="2">
        <v>44</v>
      </c>
      <c r="J8" s="2">
        <f>('Maj - wydatki'!$I8-K8)</f>
        <v>44</v>
      </c>
      <c r="K8" s="2">
        <f t="shared" si="2"/>
        <v>0</v>
      </c>
      <c r="L8" s="2"/>
      <c r="M8" s="2"/>
      <c r="N8" s="2"/>
      <c r="O8" s="2"/>
      <c r="P8" s="2"/>
      <c r="Q8" s="9"/>
    </row>
    <row r="9" spans="1:17" x14ac:dyDescent="0.25">
      <c r="A9" s="2"/>
      <c r="B9" s="2" t="s">
        <v>184</v>
      </c>
      <c r="C9" s="2">
        <v>200</v>
      </c>
      <c r="D9" s="2">
        <f>('Maj - wydatki'!$C9-'Maj - wydatki'!$E9)</f>
        <v>0</v>
      </c>
      <c r="E9" s="2">
        <f>(200)</f>
        <v>200</v>
      </c>
      <c r="F9" s="2"/>
      <c r="G9" s="2"/>
      <c r="H9" s="2" t="s">
        <v>251</v>
      </c>
      <c r="I9" s="2">
        <v>39</v>
      </c>
      <c r="J9" s="2">
        <f>('Maj - wydatki'!$I9-K9)</f>
        <v>39</v>
      </c>
      <c r="K9" s="2">
        <f t="shared" si="2"/>
        <v>0</v>
      </c>
      <c r="L9" s="2"/>
      <c r="M9" s="2"/>
      <c r="N9" s="2"/>
      <c r="O9" s="2"/>
      <c r="P9" s="2"/>
      <c r="Q9" s="9"/>
    </row>
    <row r="10" spans="1:17" x14ac:dyDescent="0.25">
      <c r="A10" s="2"/>
      <c r="B10" s="2"/>
      <c r="C10" s="2"/>
      <c r="D10" s="2"/>
      <c r="E10" s="2"/>
      <c r="F10" s="2"/>
      <c r="G10" s="2"/>
      <c r="H10" s="2" t="s">
        <v>192</v>
      </c>
      <c r="I10" s="2">
        <v>300</v>
      </c>
      <c r="J10" s="2">
        <f>('Maj - wydatki'!$I10-K10)</f>
        <v>300</v>
      </c>
      <c r="K10" s="2">
        <f t="shared" si="2"/>
        <v>0</v>
      </c>
      <c r="L10" s="2"/>
      <c r="M10" s="2"/>
      <c r="N10" s="2"/>
      <c r="O10" s="2"/>
      <c r="P10" s="2"/>
      <c r="Q10" s="9"/>
    </row>
    <row r="11" spans="1:17" ht="13.5" customHeight="1" x14ac:dyDescent="0.25">
      <c r="A11" s="2"/>
      <c r="B11" s="2"/>
      <c r="C11" s="2"/>
      <c r="D11" s="2"/>
      <c r="E11" s="2"/>
      <c r="F11" s="2"/>
      <c r="G11" s="2"/>
      <c r="H11" s="2" t="s">
        <v>52</v>
      </c>
      <c r="I11" s="2">
        <v>200</v>
      </c>
      <c r="J11" s="2">
        <f>('Maj - wydatki'!$I11-K11)</f>
        <v>200</v>
      </c>
      <c r="K11" s="2">
        <f t="shared" si="2"/>
        <v>0</v>
      </c>
    </row>
    <row r="12" spans="1:17" x14ac:dyDescent="0.25">
      <c r="A12" s="2"/>
      <c r="B12" s="2"/>
      <c r="C12" s="2"/>
      <c r="D12" s="2"/>
      <c r="E12" s="2"/>
      <c r="F12" s="2"/>
      <c r="G12" s="2"/>
      <c r="H12" s="2" t="s">
        <v>54</v>
      </c>
      <c r="I12" s="2">
        <v>100</v>
      </c>
      <c r="J12" s="2">
        <f>('Maj - wydatki'!$I12-K12)</f>
        <v>100</v>
      </c>
      <c r="K12" s="2">
        <f t="shared" si="2"/>
        <v>0</v>
      </c>
    </row>
    <row r="13" spans="1:17" x14ac:dyDescent="0.25">
      <c r="A13" s="2"/>
      <c r="B13" s="2"/>
      <c r="C13" s="2"/>
      <c r="D13" s="2"/>
      <c r="E13" s="2"/>
      <c r="F13" s="2"/>
      <c r="G13" s="2"/>
      <c r="H13" s="2" t="s">
        <v>185</v>
      </c>
      <c r="I13" s="2">
        <v>50</v>
      </c>
      <c r="J13" s="2">
        <f>('Maj - wydatki'!$I13-K13)</f>
        <v>50</v>
      </c>
      <c r="K13" s="2">
        <f t="shared" si="2"/>
        <v>0</v>
      </c>
      <c r="M13" s="1" t="s">
        <v>252</v>
      </c>
    </row>
    <row r="14" spans="1:17" x14ac:dyDescent="0.25">
      <c r="A14" s="2"/>
      <c r="B14" s="2"/>
      <c r="C14" s="2"/>
      <c r="D14" s="2"/>
      <c r="E14" s="2"/>
      <c r="F14" s="2"/>
      <c r="G14" s="2"/>
      <c r="H14" s="2" t="s">
        <v>186</v>
      </c>
      <c r="I14" s="2">
        <v>100</v>
      </c>
      <c r="J14" s="2">
        <f>('Maj - wydatki'!$I14-K14)</f>
        <v>100</v>
      </c>
      <c r="K14" s="2">
        <f t="shared" si="2"/>
        <v>0</v>
      </c>
      <c r="N14" s="9"/>
      <c r="O14" s="9"/>
      <c r="P14" s="9"/>
      <c r="Q14" s="9"/>
    </row>
    <row r="15" spans="1:17" x14ac:dyDescent="0.25">
      <c r="A15" s="2"/>
      <c r="B15" s="2"/>
      <c r="C15" s="2"/>
      <c r="D15" s="2"/>
      <c r="E15" s="2"/>
      <c r="F15" s="2"/>
      <c r="G15" s="2"/>
      <c r="H15" s="2" t="s">
        <v>189</v>
      </c>
      <c r="I15" s="2">
        <v>100</v>
      </c>
      <c r="J15" s="2">
        <f>('Maj - wydatki'!$I15-K15)</f>
        <v>100</v>
      </c>
      <c r="K15" s="2">
        <f t="shared" si="2"/>
        <v>0</v>
      </c>
      <c r="N15" s="9"/>
      <c r="O15" s="9"/>
      <c r="P15" s="9"/>
      <c r="Q15" s="9"/>
    </row>
    <row r="16" spans="1:17" x14ac:dyDescent="0.25">
      <c r="A16" s="2"/>
      <c r="B16" s="2"/>
      <c r="C16" s="2"/>
      <c r="D16" s="2"/>
      <c r="E16" s="2"/>
      <c r="F16" s="2"/>
      <c r="G16" s="2"/>
      <c r="H16" s="2" t="s">
        <v>20</v>
      </c>
      <c r="I16" s="2">
        <v>295</v>
      </c>
      <c r="J16" s="2">
        <f>I16-K16</f>
        <v>0</v>
      </c>
      <c r="K16" s="2">
        <v>295</v>
      </c>
      <c r="N16" s="9"/>
      <c r="O16" s="9"/>
      <c r="P16" s="9"/>
      <c r="Q16" s="9"/>
    </row>
    <row r="17" spans="1:17" x14ac:dyDescent="0.25">
      <c r="A17" s="2"/>
      <c r="B17" s="2" t="s">
        <v>41</v>
      </c>
      <c r="C17" s="2">
        <f t="shared" ref="C17:E17" si="3">SUM(C3:C15)</f>
        <v>1366</v>
      </c>
      <c r="D17" s="2">
        <f t="shared" si="3"/>
        <v>279</v>
      </c>
      <c r="E17" s="45">
        <f t="shared" si="3"/>
        <v>1087</v>
      </c>
      <c r="F17" s="2"/>
      <c r="G17" s="2"/>
      <c r="H17" s="2" t="s">
        <v>41</v>
      </c>
      <c r="I17" s="2">
        <f>SUM(I3:I16)</f>
        <v>5965</v>
      </c>
      <c r="J17" s="2">
        <f>SUM(J3:J15)</f>
        <v>4320</v>
      </c>
      <c r="K17" s="2">
        <f>SUM(K3:K16)</f>
        <v>1645</v>
      </c>
      <c r="L17" s="9"/>
      <c r="M17" s="9"/>
      <c r="N17" s="9"/>
      <c r="O17" s="9"/>
      <c r="P17" s="9"/>
      <c r="Q17" s="9"/>
    </row>
    <row r="18" spans="1:17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9"/>
      <c r="M18" s="9"/>
      <c r="N18" s="9"/>
      <c r="O18" s="9"/>
      <c r="P18" s="9"/>
      <c r="Q18" s="9"/>
    </row>
    <row r="19" spans="1:17" ht="15.75" customHeight="1" x14ac:dyDescent="0.25">
      <c r="A19" s="101" t="s">
        <v>196</v>
      </c>
      <c r="B19" s="102"/>
      <c r="C19" s="102"/>
      <c r="D19" s="102"/>
      <c r="E19" s="100"/>
      <c r="F19" s="2"/>
      <c r="G19" s="103" t="s">
        <v>197</v>
      </c>
      <c r="H19" s="102"/>
      <c r="I19" s="102"/>
      <c r="J19" s="100"/>
      <c r="K19" s="48" t="s">
        <v>41</v>
      </c>
      <c r="L19" s="9"/>
      <c r="M19" s="9"/>
      <c r="N19" s="9"/>
      <c r="O19" s="9"/>
      <c r="P19" s="9"/>
      <c r="Q19" s="9"/>
    </row>
    <row r="20" spans="1:17" ht="15.75" customHeight="1" x14ac:dyDescent="0.25">
      <c r="A20" s="4"/>
      <c r="B20" s="2"/>
      <c r="C20" s="2" t="s">
        <v>11</v>
      </c>
      <c r="D20" s="2" t="s">
        <v>12</v>
      </c>
      <c r="E20" s="5" t="s">
        <v>13</v>
      </c>
      <c r="F20" s="2"/>
      <c r="G20" s="4"/>
      <c r="H20" s="2" t="s">
        <v>11</v>
      </c>
      <c r="I20" s="2" t="s">
        <v>12</v>
      </c>
      <c r="J20" s="5" t="s">
        <v>13</v>
      </c>
      <c r="K20" s="56" t="s">
        <v>198</v>
      </c>
      <c r="L20" s="9"/>
      <c r="M20" s="9"/>
      <c r="N20" s="9"/>
      <c r="O20" s="9"/>
      <c r="P20" s="9"/>
      <c r="Q20" s="9"/>
    </row>
    <row r="21" spans="1:17" ht="15.75" customHeight="1" x14ac:dyDescent="0.25">
      <c r="A21" s="4"/>
      <c r="B21" s="2" t="s">
        <v>199</v>
      </c>
      <c r="C21" s="2" t="str">
        <f t="shared" ref="C21:C24" si="4">IMDIV(C$25,4)</f>
        <v>187,5</v>
      </c>
      <c r="D21" s="2">
        <f t="shared" ref="D21:D24" si="5">(C21-E21)</f>
        <v>0</v>
      </c>
      <c r="E21" s="5">
        <f>(24.24+15.55+5.45+5+20+50+38.2+35.57-6.51)</f>
        <v>187.5</v>
      </c>
      <c r="F21" s="2"/>
      <c r="G21" s="4" t="s">
        <v>199</v>
      </c>
      <c r="H21" s="2" t="str">
        <f t="shared" ref="H21:H24" si="6">IMDIV(H$25,4)</f>
        <v>187,5</v>
      </c>
      <c r="I21" s="2">
        <f t="shared" ref="I21:I24" si="7">(H21-J21)</f>
        <v>187.5</v>
      </c>
      <c r="J21" s="5">
        <f t="shared" ref="J21:J24" si="8">(0)</f>
        <v>0</v>
      </c>
      <c r="K21" s="57">
        <f>('Maj - wydatki'!$D21+'Maj - wydatki'!$I21)</f>
        <v>187.5</v>
      </c>
      <c r="L21" s="9"/>
      <c r="M21" s="9"/>
    </row>
    <row r="22" spans="1:17" ht="15.75" customHeight="1" x14ac:dyDescent="0.25">
      <c r="A22" s="4"/>
      <c r="B22" s="2" t="s">
        <v>200</v>
      </c>
      <c r="C22" s="2" t="str">
        <f t="shared" si="4"/>
        <v>187,5</v>
      </c>
      <c r="D22" s="2">
        <f t="shared" si="5"/>
        <v>10.499999999999972</v>
      </c>
      <c r="E22" s="5">
        <f>(4.5+6.51+63.13+3.99+8.2+50.28+19.77+5.35+14+1.27)</f>
        <v>177.00000000000003</v>
      </c>
      <c r="F22" s="2"/>
      <c r="G22" s="4" t="s">
        <v>200</v>
      </c>
      <c r="H22" s="2" t="str">
        <f t="shared" si="6"/>
        <v>187,5</v>
      </c>
      <c r="I22" s="2">
        <f t="shared" si="7"/>
        <v>187.5</v>
      </c>
      <c r="J22" s="5">
        <f t="shared" si="8"/>
        <v>0</v>
      </c>
      <c r="K22" s="56">
        <f>('Maj - wydatki'!$D22+'Maj - wydatki'!$I22)</f>
        <v>197.99999999999997</v>
      </c>
      <c r="L22" s="9"/>
      <c r="M22" s="9"/>
    </row>
    <row r="23" spans="1:17" ht="15.75" customHeight="1" x14ac:dyDescent="0.25">
      <c r="A23" s="4"/>
      <c r="B23" s="2" t="s">
        <v>201</v>
      </c>
      <c r="C23" s="2" t="str">
        <f t="shared" si="4"/>
        <v>187,5</v>
      </c>
      <c r="D23" s="2">
        <f t="shared" si="5"/>
        <v>-1.2599999999999909</v>
      </c>
      <c r="E23" s="5">
        <f>(12.9+28.22+20+49.94+22+20+35.7)</f>
        <v>188.76</v>
      </c>
      <c r="F23" s="2"/>
      <c r="G23" s="4" t="s">
        <v>201</v>
      </c>
      <c r="H23" s="2" t="str">
        <f t="shared" si="6"/>
        <v>187,5</v>
      </c>
      <c r="I23" s="2">
        <f t="shared" si="7"/>
        <v>187.5</v>
      </c>
      <c r="J23" s="5">
        <f t="shared" si="8"/>
        <v>0</v>
      </c>
      <c r="K23" s="57">
        <f>('Maj - wydatki'!$D23+'Maj - wydatki'!$I23)</f>
        <v>186.24</v>
      </c>
      <c r="L23" s="9"/>
      <c r="M23" s="9"/>
    </row>
    <row r="24" spans="1:17" ht="15.75" customHeight="1" x14ac:dyDescent="0.25">
      <c r="A24" s="4"/>
      <c r="B24" s="2" t="s">
        <v>202</v>
      </c>
      <c r="C24" s="2" t="str">
        <f t="shared" si="4"/>
        <v>187,5</v>
      </c>
      <c r="D24" s="2">
        <f t="shared" si="5"/>
        <v>-86.5</v>
      </c>
      <c r="E24" s="5">
        <f>(133+141)</f>
        <v>274</v>
      </c>
      <c r="F24" s="2"/>
      <c r="G24" s="4" t="s">
        <v>202</v>
      </c>
      <c r="H24" s="2" t="str">
        <f t="shared" si="6"/>
        <v>187,5</v>
      </c>
      <c r="I24" s="2">
        <f t="shared" si="7"/>
        <v>187.5</v>
      </c>
      <c r="J24" s="5">
        <f t="shared" si="8"/>
        <v>0</v>
      </c>
      <c r="K24" s="56">
        <f>('Maj - wydatki'!$D24+'Maj - wydatki'!$I24)</f>
        <v>101</v>
      </c>
      <c r="L24" s="9"/>
      <c r="M24" s="9"/>
    </row>
    <row r="25" spans="1:17" ht="15.75" customHeight="1" x14ac:dyDescent="0.25">
      <c r="A25" s="44"/>
      <c r="B25" s="45" t="s">
        <v>203</v>
      </c>
      <c r="C25" s="45">
        <v>750</v>
      </c>
      <c r="D25" s="45">
        <f t="shared" ref="D25:E25" si="9">SUM(D21:D24)</f>
        <v>-77.260000000000019</v>
      </c>
      <c r="E25" s="47">
        <f t="shared" si="9"/>
        <v>827.26</v>
      </c>
      <c r="F25" s="2"/>
      <c r="G25" s="44" t="s">
        <v>203</v>
      </c>
      <c r="H25" s="45">
        <v>750</v>
      </c>
      <c r="I25" s="45">
        <f t="shared" ref="I25:J25" si="10">SUM(I21:I24)</f>
        <v>750</v>
      </c>
      <c r="J25" s="47">
        <f t="shared" si="10"/>
        <v>0</v>
      </c>
      <c r="K25" s="58">
        <f>('Maj - wydatki'!$D25+'Maj - wydatki'!$I25)</f>
        <v>672.74</v>
      </c>
      <c r="L25" s="9"/>
      <c r="M25" s="9"/>
    </row>
    <row r="26" spans="1:17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9"/>
      <c r="M26" s="9"/>
    </row>
    <row r="27" spans="1:17" ht="15.75" customHeight="1" x14ac:dyDescent="0.25">
      <c r="A27" s="98" t="s">
        <v>204</v>
      </c>
      <c r="B27" s="96"/>
      <c r="C27" s="96"/>
      <c r="D27" s="96"/>
      <c r="E27" s="97"/>
      <c r="F27" s="2"/>
      <c r="G27" s="95" t="s">
        <v>205</v>
      </c>
      <c r="H27" s="96"/>
      <c r="I27" s="96"/>
      <c r="J27" s="96"/>
      <c r="K27" s="97"/>
      <c r="L27" s="9"/>
      <c r="M27" s="9"/>
    </row>
    <row r="28" spans="1:17" ht="15.75" customHeight="1" x14ac:dyDescent="0.25">
      <c r="A28" s="4" t="s">
        <v>171</v>
      </c>
      <c r="B28" s="2" t="s">
        <v>10</v>
      </c>
      <c r="C28" s="2" t="s">
        <v>11</v>
      </c>
      <c r="D28" s="2" t="s">
        <v>12</v>
      </c>
      <c r="E28" s="5" t="s">
        <v>13</v>
      </c>
      <c r="F28" s="2"/>
      <c r="G28" s="4" t="s">
        <v>171</v>
      </c>
      <c r="H28" s="2" t="s">
        <v>10</v>
      </c>
      <c r="I28" s="2" t="s">
        <v>11</v>
      </c>
      <c r="J28" s="2" t="s">
        <v>12</v>
      </c>
      <c r="K28" s="5" t="s">
        <v>13</v>
      </c>
      <c r="L28" s="9"/>
      <c r="M28" s="9"/>
    </row>
    <row r="29" spans="1:17" ht="15.75" customHeight="1" x14ac:dyDescent="0.25">
      <c r="A29" s="4"/>
      <c r="B29" s="2" t="s">
        <v>247</v>
      </c>
      <c r="C29" s="2">
        <v>382</v>
      </c>
      <c r="D29" s="2">
        <f>C29-E29</f>
        <v>0</v>
      </c>
      <c r="E29" s="5">
        <v>382</v>
      </c>
      <c r="F29" s="2"/>
      <c r="G29" s="4"/>
      <c r="H29" s="2" t="s">
        <v>61</v>
      </c>
      <c r="I29" s="2">
        <v>0</v>
      </c>
      <c r="J29" s="2">
        <f>'Maj - wydatki'!$I29-K29</f>
        <v>0</v>
      </c>
      <c r="K29" s="5">
        <f t="shared" ref="K29:K32" si="11">(0)</f>
        <v>0</v>
      </c>
      <c r="L29" s="9"/>
      <c r="M29" s="9"/>
    </row>
    <row r="30" spans="1:17" ht="15.75" customHeight="1" x14ac:dyDescent="0.25">
      <c r="A30" s="4"/>
      <c r="B30" s="2" t="s">
        <v>208</v>
      </c>
      <c r="C30" s="2">
        <v>200</v>
      </c>
      <c r="D30" s="2">
        <f>'Maj - wydatki'!$C30-E30</f>
        <v>0</v>
      </c>
      <c r="E30" s="5">
        <v>200</v>
      </c>
      <c r="F30" s="2"/>
      <c r="G30" s="4"/>
      <c r="H30" s="2" t="s">
        <v>208</v>
      </c>
      <c r="I30" s="2">
        <v>0</v>
      </c>
      <c r="J30" s="2">
        <f>'Maj - wydatki'!$I30-K30</f>
        <v>0</v>
      </c>
      <c r="K30" s="5">
        <f t="shared" si="11"/>
        <v>0</v>
      </c>
      <c r="L30" s="9"/>
      <c r="M30" s="9"/>
    </row>
    <row r="31" spans="1:17" ht="15.75" customHeight="1" x14ac:dyDescent="0.25">
      <c r="A31" s="4"/>
      <c r="B31" s="2"/>
      <c r="C31" s="2"/>
      <c r="D31" s="2"/>
      <c r="E31" s="5"/>
      <c r="F31" s="2"/>
      <c r="G31" s="4"/>
      <c r="H31" s="2" t="s">
        <v>69</v>
      </c>
      <c r="I31" s="2">
        <v>84</v>
      </c>
      <c r="J31" s="2">
        <f>'Maj - wydatki'!$I31-K31</f>
        <v>84</v>
      </c>
      <c r="K31" s="5">
        <f t="shared" si="11"/>
        <v>0</v>
      </c>
      <c r="L31" s="9"/>
      <c r="M31" s="9"/>
    </row>
    <row r="32" spans="1:17" ht="15.75" customHeight="1" x14ac:dyDescent="0.25">
      <c r="A32" s="4"/>
      <c r="B32" s="2"/>
      <c r="C32" s="2"/>
      <c r="D32" s="2"/>
      <c r="E32" s="5"/>
      <c r="F32" s="2"/>
      <c r="G32" s="4"/>
      <c r="H32" s="2" t="s">
        <v>253</v>
      </c>
      <c r="I32" s="2">
        <v>100</v>
      </c>
      <c r="J32" s="2">
        <f>'Maj - wydatki'!$I32-K32</f>
        <v>100</v>
      </c>
      <c r="K32" s="5">
        <f t="shared" si="11"/>
        <v>0</v>
      </c>
    </row>
    <row r="33" spans="1:11" ht="15.75" customHeight="1" x14ac:dyDescent="0.25">
      <c r="A33" s="44"/>
      <c r="B33" s="45" t="s">
        <v>203</v>
      </c>
      <c r="C33" s="45">
        <f t="shared" ref="C33:E33" si="12">SUM(C29:C32)</f>
        <v>582</v>
      </c>
      <c r="D33" s="45">
        <f t="shared" si="12"/>
        <v>0</v>
      </c>
      <c r="E33" s="45">
        <f t="shared" si="12"/>
        <v>582</v>
      </c>
      <c r="F33" s="2"/>
      <c r="G33" s="44"/>
      <c r="H33" s="45" t="s">
        <v>203</v>
      </c>
      <c r="I33" s="45">
        <f t="shared" ref="I33:K33" si="13">SUM(I29:I32)</f>
        <v>184</v>
      </c>
      <c r="J33" s="45">
        <f t="shared" si="13"/>
        <v>184</v>
      </c>
      <c r="K33" s="45">
        <f t="shared" si="13"/>
        <v>0</v>
      </c>
    </row>
    <row r="34" spans="1:11" ht="15.75" customHeight="1" x14ac:dyDescent="0.25">
      <c r="A34" s="2"/>
      <c r="B34" s="34"/>
      <c r="C34" s="2"/>
      <c r="D34" s="2"/>
      <c r="E34" s="2"/>
      <c r="F34" s="2"/>
      <c r="G34" s="2"/>
      <c r="H34" s="2"/>
      <c r="I34" s="2"/>
      <c r="J34" s="2"/>
      <c r="K34" s="2"/>
    </row>
    <row r="35" spans="1:11" ht="15.75" customHeight="1" x14ac:dyDescent="0.25">
      <c r="A35" s="98" t="s">
        <v>217</v>
      </c>
      <c r="B35" s="96"/>
      <c r="C35" s="96"/>
      <c r="D35" s="96"/>
      <c r="E35" s="97"/>
      <c r="F35" s="2"/>
      <c r="G35" s="95" t="s">
        <v>218</v>
      </c>
      <c r="H35" s="96"/>
      <c r="I35" s="96"/>
      <c r="J35" s="96"/>
      <c r="K35" s="97"/>
    </row>
    <row r="36" spans="1:11" ht="15.75" customHeight="1" x14ac:dyDescent="0.25">
      <c r="A36" s="4"/>
      <c r="B36" s="2"/>
      <c r="C36" s="2" t="s">
        <v>11</v>
      </c>
      <c r="D36" s="2" t="s">
        <v>12</v>
      </c>
      <c r="E36" s="5" t="s">
        <v>13</v>
      </c>
      <c r="F36" s="2"/>
      <c r="G36" s="4"/>
      <c r="H36" s="2"/>
      <c r="I36" s="2" t="s">
        <v>11</v>
      </c>
      <c r="J36" s="2" t="s">
        <v>12</v>
      </c>
      <c r="K36" s="5" t="s">
        <v>13</v>
      </c>
    </row>
    <row r="37" spans="1:11" ht="15.75" customHeight="1" x14ac:dyDescent="0.25">
      <c r="A37" s="44"/>
      <c r="B37" s="45"/>
      <c r="C37" s="45">
        <f t="shared" ref="C37:F37" si="14">C17+C25+C33</f>
        <v>2698</v>
      </c>
      <c r="D37" s="45">
        <f t="shared" si="14"/>
        <v>201.73999999999998</v>
      </c>
      <c r="E37" s="47">
        <f t="shared" si="14"/>
        <v>2496.2600000000002</v>
      </c>
      <c r="F37" s="2">
        <f t="shared" si="14"/>
        <v>0</v>
      </c>
      <c r="G37" s="44"/>
      <c r="H37" s="45"/>
      <c r="I37" s="45">
        <f t="shared" ref="I37:K37" si="15">I17+H25+I33</f>
        <v>6899</v>
      </c>
      <c r="J37" s="45">
        <f t="shared" si="15"/>
        <v>5254</v>
      </c>
      <c r="K37" s="47">
        <f t="shared" si="15"/>
        <v>1645</v>
      </c>
    </row>
    <row r="38" spans="1:11" ht="15.75" customHeight="1" x14ac:dyDescent="0.25"/>
    <row r="39" spans="1:11" ht="15.75" customHeight="1" x14ac:dyDescent="0.25"/>
    <row r="40" spans="1:11" ht="15.75" customHeight="1" x14ac:dyDescent="0.25"/>
    <row r="41" spans="1:11" ht="15.75" customHeight="1" x14ac:dyDescent="0.25"/>
    <row r="42" spans="1:11" ht="15.75" customHeight="1" x14ac:dyDescent="0.25"/>
    <row r="43" spans="1:11" ht="15.75" customHeight="1" x14ac:dyDescent="0.25"/>
    <row r="44" spans="1:11" ht="15.75" customHeight="1" x14ac:dyDescent="0.25"/>
    <row r="45" spans="1:11" ht="15.75" customHeight="1" x14ac:dyDescent="0.25"/>
    <row r="46" spans="1:11" ht="15.75" customHeight="1" x14ac:dyDescent="0.25"/>
    <row r="47" spans="1:11" ht="15.75" customHeight="1" x14ac:dyDescent="0.25"/>
    <row r="48" spans="1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35:E35"/>
    <mergeCell ref="G35:K35"/>
    <mergeCell ref="A1:E1"/>
    <mergeCell ref="G1:K1"/>
    <mergeCell ref="A19:E19"/>
    <mergeCell ref="G19:J19"/>
    <mergeCell ref="A27:E27"/>
    <mergeCell ref="G27:K27"/>
  </mergeCells>
  <pageMargins left="0.7" right="0.7" top="0.75" bottom="0.75" header="0" footer="0"/>
  <pageSetup orientation="landscape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000"/>
  <sheetViews>
    <sheetView workbookViewId="0"/>
  </sheetViews>
  <sheetFormatPr defaultColWidth="14.42578125" defaultRowHeight="15" customHeight="1" x14ac:dyDescent="0.25"/>
  <cols>
    <col min="1" max="2" width="12" customWidth="1"/>
    <col min="3" max="3" width="12.28515625" customWidth="1"/>
    <col min="4" max="4" width="12" customWidth="1"/>
    <col min="5" max="5" width="12.42578125" customWidth="1"/>
    <col min="6" max="6" width="11" customWidth="1"/>
    <col min="7" max="7" width="10.140625" customWidth="1"/>
    <col min="8" max="11" width="8.7109375" customWidth="1"/>
    <col min="12" max="12" width="9.42578125" customWidth="1"/>
    <col min="13" max="13" width="11.140625" customWidth="1"/>
    <col min="14" max="14" width="9.28515625" customWidth="1"/>
    <col min="15" max="17" width="8.7109375" customWidth="1"/>
  </cols>
  <sheetData>
    <row r="1" spans="1:17" x14ac:dyDescent="0.25">
      <c r="A1" s="1" t="s">
        <v>171</v>
      </c>
      <c r="B1" s="1" t="s">
        <v>254</v>
      </c>
      <c r="C1" s="1" t="s">
        <v>10</v>
      </c>
      <c r="D1" s="1" t="s">
        <v>255</v>
      </c>
      <c r="E1" s="1" t="s">
        <v>175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7" x14ac:dyDescent="0.25">
      <c r="A2" s="59"/>
      <c r="B2" s="60"/>
      <c r="C2" s="61"/>
      <c r="D2" s="61" t="s">
        <v>261</v>
      </c>
      <c r="E2" s="61" t="s">
        <v>262</v>
      </c>
      <c r="F2" s="61"/>
      <c r="G2" s="61"/>
      <c r="H2" s="61"/>
      <c r="I2" s="61"/>
      <c r="J2" s="62"/>
      <c r="K2" s="9"/>
      <c r="L2" s="9"/>
      <c r="M2" s="9"/>
      <c r="N2" s="9"/>
      <c r="O2" s="9"/>
      <c r="P2" s="9"/>
      <c r="Q2" s="9"/>
    </row>
    <row r="3" spans="1:17" x14ac:dyDescent="0.25">
      <c r="A3" s="19"/>
      <c r="B3" s="9" t="s">
        <v>263</v>
      </c>
      <c r="C3" s="9" t="s">
        <v>173</v>
      </c>
      <c r="D3" s="9">
        <v>650</v>
      </c>
      <c r="E3" s="9">
        <f t="shared" ref="E3:E4" si="0">(D3+F3)</f>
        <v>650</v>
      </c>
      <c r="F3" s="9"/>
      <c r="G3" s="9"/>
      <c r="H3" s="9"/>
      <c r="I3" s="9"/>
      <c r="J3" s="63"/>
      <c r="K3" s="9"/>
      <c r="L3" s="9"/>
      <c r="M3" s="9"/>
      <c r="N3" s="9"/>
      <c r="O3" s="9"/>
      <c r="P3" s="9"/>
      <c r="Q3" s="9"/>
    </row>
    <row r="4" spans="1:17" x14ac:dyDescent="0.25">
      <c r="A4" s="19" t="s">
        <v>264</v>
      </c>
      <c r="B4" s="9" t="s">
        <v>14</v>
      </c>
      <c r="C4" s="9" t="s">
        <v>173</v>
      </c>
      <c r="D4" s="9">
        <f>650</f>
        <v>650</v>
      </c>
      <c r="E4" s="9">
        <f t="shared" si="0"/>
        <v>0.53999999999996362</v>
      </c>
      <c r="F4" s="9">
        <f>(-37.53-29.69-32.71-139-1.39-20.45-19.98-16.04-99.24-89.91-15.21-14.94-123.87-9.5)</f>
        <v>-649.46</v>
      </c>
      <c r="G4" s="9"/>
      <c r="H4" s="9"/>
      <c r="I4" s="9"/>
      <c r="J4" s="63"/>
      <c r="K4" s="9"/>
      <c r="L4" s="9" t="s">
        <v>265</v>
      </c>
      <c r="M4" s="9" t="s">
        <v>266</v>
      </c>
      <c r="N4" s="9" t="s">
        <v>12</v>
      </c>
      <c r="O4" s="9"/>
      <c r="P4" s="9"/>
      <c r="Q4" s="9"/>
    </row>
    <row r="5" spans="1:17" x14ac:dyDescent="0.25">
      <c r="A5" s="19" t="s">
        <v>267</v>
      </c>
      <c r="B5" s="9" t="s">
        <v>263</v>
      </c>
      <c r="C5" s="9" t="s">
        <v>177</v>
      </c>
      <c r="D5" s="9">
        <v>3110</v>
      </c>
      <c r="E5" s="9">
        <f t="shared" ref="E5:E22" si="1">D5+F5</f>
        <v>0</v>
      </c>
      <c r="F5" s="9">
        <v>-3110</v>
      </c>
      <c r="G5" s="9"/>
      <c r="H5" s="9"/>
      <c r="I5" s="9"/>
      <c r="J5" s="63"/>
      <c r="K5" s="9"/>
      <c r="L5" s="9" t="s">
        <v>263</v>
      </c>
      <c r="M5" s="9">
        <f>(D3+D5+D8+D10+D13+D14+D37+D15+D17+D20+D21+D22+D24+D25+D26+D29+D34+D18+D33)</f>
        <v>7992</v>
      </c>
      <c r="N5" s="9">
        <f>(E3+E5+E8+E10+E13+E14+E15+E17+E18+E20+E21+E22+D34)</f>
        <v>2482</v>
      </c>
      <c r="O5" s="9"/>
      <c r="P5" s="9"/>
      <c r="Q5" s="9"/>
    </row>
    <row r="6" spans="1:17" x14ac:dyDescent="0.25">
      <c r="A6" s="19" t="s">
        <v>264</v>
      </c>
      <c r="B6" s="9" t="s">
        <v>14</v>
      </c>
      <c r="C6" s="9" t="s">
        <v>268</v>
      </c>
      <c r="D6" s="9">
        <v>75</v>
      </c>
      <c r="E6" s="9">
        <f t="shared" si="1"/>
        <v>0</v>
      </c>
      <c r="F6" s="9">
        <v>-75</v>
      </c>
      <c r="G6" s="9"/>
      <c r="H6" s="9"/>
      <c r="I6" s="9"/>
      <c r="J6" s="63"/>
      <c r="K6" s="9"/>
      <c r="L6" s="9" t="s">
        <v>14</v>
      </c>
      <c r="M6" s="9">
        <f>(D4+D6+D7+D9+D11+D12+D16+D19+D28+D30+D35+D36)</f>
        <v>3466</v>
      </c>
      <c r="N6" s="9">
        <f>(E4+E6+E7+E11+E12+E16+E19+E28+E30)</f>
        <v>45.539999999999964</v>
      </c>
      <c r="O6" s="9"/>
      <c r="P6" s="9"/>
      <c r="Q6" s="9"/>
    </row>
    <row r="7" spans="1:17" x14ac:dyDescent="0.25">
      <c r="A7" s="19" t="s">
        <v>264</v>
      </c>
      <c r="B7" s="9" t="s">
        <v>14</v>
      </c>
      <c r="C7" s="9" t="s">
        <v>73</v>
      </c>
      <c r="D7" s="9">
        <v>30</v>
      </c>
      <c r="E7" s="9">
        <f t="shared" si="1"/>
        <v>0</v>
      </c>
      <c r="F7" s="9">
        <v>-30</v>
      </c>
      <c r="G7" s="9"/>
      <c r="H7" s="9"/>
      <c r="I7" s="9"/>
      <c r="J7" s="63"/>
      <c r="K7" s="9"/>
      <c r="L7" s="9" t="s">
        <v>269</v>
      </c>
      <c r="M7" s="9">
        <f>M6+M5</f>
        <v>11458</v>
      </c>
      <c r="N7" s="9"/>
      <c r="O7" s="9"/>
      <c r="P7" s="9"/>
      <c r="Q7" s="9"/>
    </row>
    <row r="8" spans="1:17" x14ac:dyDescent="0.25">
      <c r="A8" s="19"/>
      <c r="B8" s="9" t="s">
        <v>263</v>
      </c>
      <c r="C8" s="9" t="s">
        <v>56</v>
      </c>
      <c r="D8" s="9">
        <v>130</v>
      </c>
      <c r="E8" s="9">
        <f t="shared" si="1"/>
        <v>130</v>
      </c>
      <c r="F8" s="9"/>
      <c r="G8" s="9"/>
      <c r="H8" s="9"/>
      <c r="I8" s="9"/>
      <c r="J8" s="63"/>
      <c r="K8" s="9"/>
      <c r="L8" s="9"/>
      <c r="M8" s="9"/>
      <c r="N8" s="9"/>
      <c r="O8" s="9"/>
      <c r="P8" s="9"/>
      <c r="Q8" s="9"/>
    </row>
    <row r="9" spans="1:17" x14ac:dyDescent="0.25">
      <c r="A9" s="19" t="s">
        <v>264</v>
      </c>
      <c r="B9" s="9" t="s">
        <v>14</v>
      </c>
      <c r="C9" s="9" t="s">
        <v>24</v>
      </c>
      <c r="D9" s="9">
        <v>200</v>
      </c>
      <c r="E9" s="9">
        <f t="shared" si="1"/>
        <v>0</v>
      </c>
      <c r="F9" s="9">
        <v>-200</v>
      </c>
      <c r="G9" s="9"/>
      <c r="H9" s="9"/>
      <c r="I9" s="9"/>
      <c r="J9" s="63"/>
      <c r="K9" s="9"/>
      <c r="L9" s="9"/>
      <c r="M9" s="9"/>
      <c r="N9" s="9"/>
      <c r="O9" s="9"/>
      <c r="P9" s="9"/>
      <c r="Q9" s="9"/>
    </row>
    <row r="10" spans="1:17" x14ac:dyDescent="0.25">
      <c r="A10" s="19"/>
      <c r="B10" s="9" t="s">
        <v>263</v>
      </c>
      <c r="C10" s="9" t="s">
        <v>51</v>
      </c>
      <c r="D10" s="9">
        <v>1055</v>
      </c>
      <c r="E10" s="9">
        <f t="shared" si="1"/>
        <v>0</v>
      </c>
      <c r="F10" s="9">
        <v>-1055</v>
      </c>
      <c r="G10" s="9"/>
      <c r="H10" s="9"/>
      <c r="I10" s="9"/>
      <c r="J10" s="63"/>
      <c r="K10" s="9"/>
      <c r="L10" s="9"/>
      <c r="M10" s="9"/>
      <c r="N10" s="9"/>
      <c r="O10" s="9"/>
      <c r="P10" s="9"/>
      <c r="Q10" s="9"/>
    </row>
    <row r="11" spans="1:17" ht="13.5" customHeight="1" x14ac:dyDescent="0.25">
      <c r="A11" s="19" t="s">
        <v>264</v>
      </c>
      <c r="B11" s="9" t="s">
        <v>14</v>
      </c>
      <c r="C11" s="9" t="s">
        <v>178</v>
      </c>
      <c r="D11" s="9">
        <v>850</v>
      </c>
      <c r="E11" s="9">
        <f t="shared" si="1"/>
        <v>45</v>
      </c>
      <c r="F11" s="9">
        <f>(-365-211-100-129)</f>
        <v>-805</v>
      </c>
      <c r="G11" s="9"/>
      <c r="H11" s="9"/>
      <c r="I11" s="9"/>
      <c r="J11" s="63"/>
      <c r="K11" s="9"/>
    </row>
    <row r="12" spans="1:17" x14ac:dyDescent="0.25">
      <c r="A12" s="19" t="s">
        <v>264</v>
      </c>
      <c r="B12" s="9" t="s">
        <v>14</v>
      </c>
      <c r="C12" s="9" t="s">
        <v>183</v>
      </c>
      <c r="D12" s="9">
        <v>100</v>
      </c>
      <c r="E12" s="9">
        <f t="shared" si="1"/>
        <v>0</v>
      </c>
      <c r="F12" s="9">
        <f>(-10-68-22)</f>
        <v>-100</v>
      </c>
      <c r="G12" s="9"/>
      <c r="H12" s="9"/>
      <c r="I12" s="9"/>
      <c r="J12" s="63"/>
      <c r="K12" s="9"/>
    </row>
    <row r="13" spans="1:17" x14ac:dyDescent="0.25">
      <c r="A13" s="19"/>
      <c r="B13" s="9" t="s">
        <v>263</v>
      </c>
      <c r="C13" s="9" t="s">
        <v>52</v>
      </c>
      <c r="D13" s="9">
        <v>200</v>
      </c>
      <c r="E13" s="9">
        <f t="shared" si="1"/>
        <v>200</v>
      </c>
      <c r="F13" s="9"/>
      <c r="G13" s="9"/>
      <c r="H13" s="9"/>
      <c r="I13" s="9"/>
      <c r="J13" s="63"/>
      <c r="K13" s="9"/>
    </row>
    <row r="14" spans="1:17" x14ac:dyDescent="0.25">
      <c r="A14" s="19"/>
      <c r="B14" s="9" t="s">
        <v>263</v>
      </c>
      <c r="C14" s="9" t="s">
        <v>54</v>
      </c>
      <c r="D14" s="9">
        <v>100</v>
      </c>
      <c r="E14" s="9">
        <f t="shared" si="1"/>
        <v>100</v>
      </c>
      <c r="F14" s="9"/>
      <c r="G14" s="9"/>
      <c r="H14" s="9"/>
      <c r="I14" s="9"/>
      <c r="J14" s="63"/>
      <c r="K14" s="9"/>
      <c r="L14" s="9"/>
      <c r="M14" s="9"/>
      <c r="N14" s="9"/>
      <c r="O14" s="9"/>
      <c r="P14" s="9"/>
      <c r="Q14" s="9"/>
    </row>
    <row r="15" spans="1:17" x14ac:dyDescent="0.25">
      <c r="A15" s="19"/>
      <c r="B15" s="9" t="s">
        <v>263</v>
      </c>
      <c r="C15" s="9" t="s">
        <v>270</v>
      </c>
      <c r="D15" s="9">
        <v>130</v>
      </c>
      <c r="E15" s="9">
        <f t="shared" si="1"/>
        <v>130</v>
      </c>
      <c r="F15" s="9"/>
      <c r="G15" s="9"/>
      <c r="H15" s="9"/>
      <c r="I15" s="9"/>
      <c r="J15" s="63"/>
      <c r="K15" s="9"/>
      <c r="L15" s="9" t="s">
        <v>271</v>
      </c>
      <c r="M15" s="9" t="s">
        <v>272</v>
      </c>
      <c r="N15" s="9" t="s">
        <v>273</v>
      </c>
      <c r="O15" s="9" t="s">
        <v>274</v>
      </c>
      <c r="P15" s="9" t="s">
        <v>275</v>
      </c>
      <c r="Q15" s="9"/>
    </row>
    <row r="16" spans="1:17" x14ac:dyDescent="0.25">
      <c r="A16" s="19" t="s">
        <v>181</v>
      </c>
      <c r="B16" s="9" t="s">
        <v>14</v>
      </c>
      <c r="C16" s="9" t="s">
        <v>208</v>
      </c>
      <c r="D16" s="9">
        <v>500</v>
      </c>
      <c r="E16" s="9">
        <f t="shared" si="1"/>
        <v>0</v>
      </c>
      <c r="F16" s="9">
        <f>-500</f>
        <v>-500</v>
      </c>
      <c r="G16" s="9"/>
      <c r="H16" s="9"/>
      <c r="I16" s="9"/>
      <c r="J16" s="63"/>
      <c r="K16" s="9"/>
      <c r="L16" s="9" t="s">
        <v>181</v>
      </c>
      <c r="M16" s="9"/>
      <c r="N16" s="9"/>
      <c r="O16" s="9"/>
      <c r="P16" s="9"/>
      <c r="Q16" s="9"/>
    </row>
    <row r="17" spans="1:17" x14ac:dyDescent="0.25">
      <c r="A17" s="19"/>
      <c r="B17" s="9" t="s">
        <v>263</v>
      </c>
      <c r="C17" s="9" t="s">
        <v>208</v>
      </c>
      <c r="D17" s="9">
        <v>500</v>
      </c>
      <c r="E17" s="9">
        <f t="shared" si="1"/>
        <v>500</v>
      </c>
      <c r="F17" s="9"/>
      <c r="G17" s="9"/>
      <c r="H17" s="9"/>
      <c r="I17" s="9"/>
      <c r="J17" s="63"/>
      <c r="K17" s="9"/>
      <c r="L17" s="9" t="s">
        <v>264</v>
      </c>
      <c r="M17" s="9"/>
      <c r="N17" s="9"/>
      <c r="O17" s="9"/>
      <c r="P17" s="9"/>
      <c r="Q17" s="9"/>
    </row>
    <row r="18" spans="1:17" x14ac:dyDescent="0.25">
      <c r="A18" s="19"/>
      <c r="B18" s="9" t="s">
        <v>263</v>
      </c>
      <c r="C18" s="9" t="s">
        <v>243</v>
      </c>
      <c r="D18" s="9">
        <v>300</v>
      </c>
      <c r="E18" s="9">
        <f t="shared" si="1"/>
        <v>300</v>
      </c>
      <c r="F18" s="9"/>
      <c r="G18" s="9"/>
      <c r="H18" s="9"/>
      <c r="I18" s="9"/>
      <c r="J18" s="63"/>
      <c r="K18" s="9"/>
      <c r="L18" s="9" t="s">
        <v>267</v>
      </c>
      <c r="M18" s="9"/>
      <c r="N18" s="9"/>
      <c r="O18" s="9"/>
      <c r="P18" s="9"/>
      <c r="Q18" s="9"/>
    </row>
    <row r="19" spans="1:17" ht="15.75" customHeight="1" x14ac:dyDescent="0.25">
      <c r="A19" s="19" t="s">
        <v>181</v>
      </c>
      <c r="B19" s="9" t="s">
        <v>14</v>
      </c>
      <c r="C19" s="9" t="s">
        <v>181</v>
      </c>
      <c r="D19" s="9">
        <v>56</v>
      </c>
      <c r="E19" s="9">
        <f t="shared" si="1"/>
        <v>0</v>
      </c>
      <c r="F19" s="9">
        <f>-56</f>
        <v>-56</v>
      </c>
      <c r="G19" s="9"/>
      <c r="H19" s="9"/>
      <c r="I19" s="9"/>
      <c r="J19" s="63"/>
      <c r="K19" s="9"/>
      <c r="L19" s="9" t="s">
        <v>276</v>
      </c>
      <c r="M19" s="9"/>
      <c r="N19" s="9"/>
      <c r="O19" s="9"/>
      <c r="P19" s="9"/>
      <c r="Q19" s="9"/>
    </row>
    <row r="20" spans="1:17" ht="15.75" customHeight="1" x14ac:dyDescent="0.25">
      <c r="A20" s="19"/>
      <c r="B20" s="9" t="s">
        <v>263</v>
      </c>
      <c r="C20" s="9" t="s">
        <v>179</v>
      </c>
      <c r="D20" s="9">
        <v>128</v>
      </c>
      <c r="E20" s="9">
        <f t="shared" si="1"/>
        <v>128</v>
      </c>
      <c r="F20" s="9"/>
      <c r="G20" s="9"/>
      <c r="H20" s="9"/>
      <c r="I20" s="9"/>
      <c r="J20" s="63"/>
      <c r="K20" s="9"/>
      <c r="L20" s="9" t="s">
        <v>277</v>
      </c>
      <c r="M20" s="9"/>
      <c r="N20" s="9"/>
      <c r="O20" s="9"/>
      <c r="P20" s="9"/>
      <c r="Q20" s="9"/>
    </row>
    <row r="21" spans="1:17" ht="15.75" customHeight="1" x14ac:dyDescent="0.25">
      <c r="A21" s="19"/>
      <c r="B21" s="9" t="s">
        <v>263</v>
      </c>
      <c r="C21" s="9" t="s">
        <v>182</v>
      </c>
      <c r="D21" s="9">
        <v>44</v>
      </c>
      <c r="E21" s="9">
        <f t="shared" si="1"/>
        <v>44</v>
      </c>
      <c r="F21" s="9"/>
      <c r="G21" s="9"/>
      <c r="H21" s="9"/>
      <c r="I21" s="9"/>
      <c r="J21" s="63"/>
      <c r="K21" s="9"/>
      <c r="L21" s="9"/>
      <c r="M21" s="9"/>
      <c r="N21" s="9"/>
      <c r="O21" s="9"/>
      <c r="P21" s="9"/>
      <c r="Q21" s="9"/>
    </row>
    <row r="22" spans="1:17" ht="15.75" customHeight="1" x14ac:dyDescent="0.25">
      <c r="A22" s="19"/>
      <c r="B22" s="9" t="s">
        <v>263</v>
      </c>
      <c r="C22" s="9" t="s">
        <v>278</v>
      </c>
      <c r="D22" s="9">
        <v>200</v>
      </c>
      <c r="E22" s="9">
        <f t="shared" si="1"/>
        <v>200</v>
      </c>
      <c r="F22" s="9"/>
      <c r="G22" s="9"/>
      <c r="H22" s="64"/>
      <c r="I22" s="64"/>
      <c r="J22" s="65"/>
      <c r="K22" s="9"/>
      <c r="L22" s="9"/>
      <c r="M22" s="9"/>
      <c r="N22" s="9"/>
      <c r="O22" s="9"/>
      <c r="P22" s="9"/>
      <c r="Q22" s="9"/>
    </row>
    <row r="23" spans="1:17" ht="15.75" customHeight="1" x14ac:dyDescent="0.25">
      <c r="A23" s="66" t="s">
        <v>187</v>
      </c>
      <c r="B23" s="67"/>
      <c r="C23" s="67"/>
      <c r="D23" s="67" t="s">
        <v>255</v>
      </c>
      <c r="E23" s="68" t="s">
        <v>175</v>
      </c>
      <c r="F23" s="67" t="s">
        <v>256</v>
      </c>
      <c r="G23" s="69" t="s">
        <v>279</v>
      </c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ht="15.75" customHeight="1" x14ac:dyDescent="0.25">
      <c r="A24" s="70"/>
      <c r="B24" s="9" t="s">
        <v>263</v>
      </c>
      <c r="C24" s="9" t="s">
        <v>189</v>
      </c>
      <c r="D24" s="9">
        <v>100</v>
      </c>
      <c r="E24" s="9">
        <f t="shared" ref="E24:E26" si="2">D24+F24</f>
        <v>100</v>
      </c>
      <c r="F24" s="9"/>
      <c r="G24" s="71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5.75" customHeight="1" x14ac:dyDescent="0.25">
      <c r="A25" s="70"/>
      <c r="B25" s="9" t="s">
        <v>263</v>
      </c>
      <c r="C25" s="9" t="s">
        <v>186</v>
      </c>
      <c r="D25" s="9">
        <v>100</v>
      </c>
      <c r="E25" s="9">
        <f t="shared" si="2"/>
        <v>100</v>
      </c>
      <c r="F25" s="9"/>
      <c r="G25" s="71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.75" customHeight="1" x14ac:dyDescent="0.25">
      <c r="A26" s="70"/>
      <c r="B26" s="9" t="s">
        <v>263</v>
      </c>
      <c r="C26" s="9" t="s">
        <v>192</v>
      </c>
      <c r="D26" s="9">
        <v>300</v>
      </c>
      <c r="E26" s="9">
        <f t="shared" si="2"/>
        <v>300</v>
      </c>
      <c r="F26" s="9"/>
      <c r="G26" s="71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5.75" customHeight="1" x14ac:dyDescent="0.25">
      <c r="A27" s="70"/>
      <c r="B27" s="9" t="s">
        <v>263</v>
      </c>
      <c r="C27" s="9" t="s">
        <v>280</v>
      </c>
      <c r="D27" s="9" t="s">
        <v>281</v>
      </c>
      <c r="E27" s="9" t="s">
        <v>281</v>
      </c>
      <c r="F27" s="9"/>
      <c r="G27" s="71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5.75" customHeight="1" x14ac:dyDescent="0.25">
      <c r="A28" s="70" t="s">
        <v>276</v>
      </c>
      <c r="B28" s="9" t="s">
        <v>14</v>
      </c>
      <c r="C28" s="9" t="s">
        <v>247</v>
      </c>
      <c r="D28" s="9">
        <v>700</v>
      </c>
      <c r="E28" s="9">
        <f t="shared" ref="E28:E30" si="3">D28+F28</f>
        <v>0</v>
      </c>
      <c r="F28" s="9">
        <v>-700</v>
      </c>
      <c r="G28" s="71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5.75" customHeight="1" x14ac:dyDescent="0.25">
      <c r="A29" s="70"/>
      <c r="B29" s="9" t="s">
        <v>263</v>
      </c>
      <c r="C29" s="9" t="s">
        <v>61</v>
      </c>
      <c r="D29" s="9">
        <v>700</v>
      </c>
      <c r="E29" s="9">
        <f t="shared" si="3"/>
        <v>700</v>
      </c>
      <c r="F29" s="9"/>
      <c r="G29" s="71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5.75" customHeight="1" x14ac:dyDescent="0.25">
      <c r="A30" s="72" t="s">
        <v>267</v>
      </c>
      <c r="B30" s="73" t="s">
        <v>14</v>
      </c>
      <c r="C30" s="73" t="s">
        <v>282</v>
      </c>
      <c r="D30" s="73">
        <v>200</v>
      </c>
      <c r="E30" s="73">
        <f t="shared" si="3"/>
        <v>0</v>
      </c>
      <c r="F30" s="73">
        <v>-200</v>
      </c>
      <c r="G30" s="74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5.75" customHeight="1" x14ac:dyDescent="0.25">
      <c r="A31" s="75" t="s">
        <v>283</v>
      </c>
      <c r="B31" s="76"/>
      <c r="C31" s="76"/>
      <c r="D31" s="77" t="s">
        <v>255</v>
      </c>
      <c r="E31" s="78" t="s">
        <v>256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5.75" hidden="1" customHeight="1" x14ac:dyDescent="0.25">
      <c r="A32" s="79" t="s">
        <v>284</v>
      </c>
      <c r="B32" s="3" t="s">
        <v>14</v>
      </c>
      <c r="C32" s="3" t="s">
        <v>285</v>
      </c>
      <c r="D32" s="3" t="s">
        <v>286</v>
      </c>
      <c r="E32" s="3" t="s">
        <v>287</v>
      </c>
    </row>
    <row r="33" spans="1:5" ht="15.75" customHeight="1" x14ac:dyDescent="0.25">
      <c r="A33" s="80"/>
      <c r="B33" s="12" t="s">
        <v>263</v>
      </c>
      <c r="C33" s="12" t="s">
        <v>288</v>
      </c>
      <c r="D33" s="12">
        <v>45</v>
      </c>
      <c r="E33" s="81"/>
    </row>
    <row r="34" spans="1:5" ht="15.75" customHeight="1" x14ac:dyDescent="0.25">
      <c r="A34" s="80"/>
      <c r="B34" s="12" t="s">
        <v>263</v>
      </c>
      <c r="C34" s="12" t="s">
        <v>289</v>
      </c>
      <c r="D34" s="12">
        <v>100</v>
      </c>
      <c r="E34" s="81"/>
    </row>
    <row r="35" spans="1:5" ht="15.75" customHeight="1" x14ac:dyDescent="0.25">
      <c r="A35" s="80" t="s">
        <v>290</v>
      </c>
      <c r="B35" s="12" t="s">
        <v>14</v>
      </c>
      <c r="C35" s="12" t="s">
        <v>221</v>
      </c>
      <c r="D35" s="12">
        <v>40</v>
      </c>
      <c r="E35" s="81">
        <f>-40</f>
        <v>-40</v>
      </c>
    </row>
    <row r="36" spans="1:5" ht="15.75" customHeight="1" x14ac:dyDescent="0.25">
      <c r="A36" s="80"/>
      <c r="B36" s="12" t="s">
        <v>291</v>
      </c>
      <c r="C36" s="12" t="s">
        <v>292</v>
      </c>
      <c r="D36" s="12">
        <v>65</v>
      </c>
      <c r="E36" s="81">
        <v>-65</v>
      </c>
    </row>
    <row r="37" spans="1:5" ht="15.75" customHeight="1" x14ac:dyDescent="0.25">
      <c r="A37" s="82"/>
      <c r="B37" s="83" t="s">
        <v>263</v>
      </c>
      <c r="C37" s="83" t="s">
        <v>293</v>
      </c>
      <c r="D37" s="83">
        <v>100</v>
      </c>
      <c r="E37" s="84"/>
    </row>
    <row r="38" spans="1:5" ht="15.75" customHeight="1" x14ac:dyDescent="0.25"/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00"/>
  <sheetViews>
    <sheetView workbookViewId="0">
      <pane ySplit="1" topLeftCell="A41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2.42578125" customWidth="1"/>
    <col min="2" max="2" width="22.140625" customWidth="1"/>
    <col min="3" max="3" width="12" customWidth="1"/>
    <col min="4" max="4" width="22.7109375" customWidth="1"/>
    <col min="5" max="5" width="12" customWidth="1"/>
    <col min="6" max="6" width="12.7109375" customWidth="1"/>
    <col min="7" max="7" width="12" customWidth="1"/>
    <col min="8" max="8" width="15.140625" customWidth="1"/>
    <col min="9" max="9" width="8.7109375" customWidth="1"/>
    <col min="10" max="10" width="12.42578125" customWidth="1"/>
    <col min="11" max="26" width="8.7109375" customWidth="1"/>
  </cols>
  <sheetData>
    <row r="1" spans="1:10" hidden="1" x14ac:dyDescent="0.25">
      <c r="A1" s="2" t="s">
        <v>284</v>
      </c>
      <c r="B1" s="2" t="s">
        <v>294</v>
      </c>
      <c r="C1" s="2" t="s">
        <v>295</v>
      </c>
      <c r="D1" s="2" t="s">
        <v>296</v>
      </c>
      <c r="E1" s="2" t="s">
        <v>297</v>
      </c>
      <c r="F1" s="2" t="s">
        <v>298</v>
      </c>
      <c r="G1" s="2" t="s">
        <v>299</v>
      </c>
      <c r="H1" s="2" t="s">
        <v>300</v>
      </c>
      <c r="I1" s="9"/>
      <c r="J1" s="9"/>
    </row>
    <row r="2" spans="1:10" x14ac:dyDescent="0.25">
      <c r="A2" s="2"/>
      <c r="B2" s="2"/>
      <c r="C2" s="2"/>
      <c r="D2" s="2" t="s">
        <v>301</v>
      </c>
      <c r="E2" s="2" t="s">
        <v>302</v>
      </c>
      <c r="F2" s="2"/>
      <c r="G2" s="2"/>
      <c r="H2" s="2"/>
      <c r="I2" s="9"/>
      <c r="J2" s="9"/>
    </row>
    <row r="3" spans="1:10" x14ac:dyDescent="0.25">
      <c r="A3" s="2"/>
      <c r="B3" s="2" t="s">
        <v>303</v>
      </c>
      <c r="C3" s="2" t="s">
        <v>304</v>
      </c>
      <c r="D3" s="2" t="s">
        <v>305</v>
      </c>
      <c r="E3" s="2" t="s">
        <v>304</v>
      </c>
      <c r="F3" s="2" t="s">
        <v>306</v>
      </c>
      <c r="G3" s="2" t="s">
        <v>304</v>
      </c>
      <c r="H3" s="2" t="s">
        <v>307</v>
      </c>
      <c r="I3" s="9"/>
      <c r="J3" s="9"/>
    </row>
    <row r="4" spans="1:10" x14ac:dyDescent="0.25">
      <c r="A4" s="2" t="s">
        <v>308</v>
      </c>
      <c r="B4" s="2"/>
      <c r="C4" s="2"/>
      <c r="D4" s="2"/>
      <c r="E4" s="2"/>
      <c r="F4" s="2"/>
      <c r="G4" s="2"/>
      <c r="H4" s="2"/>
      <c r="I4" s="9"/>
      <c r="J4" s="9"/>
    </row>
    <row r="5" spans="1:10" x14ac:dyDescent="0.25">
      <c r="A5" s="2" t="s">
        <v>309</v>
      </c>
      <c r="B5" s="2"/>
      <c r="C5" s="85"/>
      <c r="D5" s="2"/>
      <c r="E5" s="85"/>
      <c r="F5" s="2"/>
      <c r="G5" s="2"/>
      <c r="H5" s="2"/>
      <c r="I5" s="9"/>
      <c r="J5" s="9"/>
    </row>
    <row r="6" spans="1:10" x14ac:dyDescent="0.25">
      <c r="A6" s="2" t="s">
        <v>310</v>
      </c>
      <c r="B6" s="2"/>
      <c r="C6" s="85"/>
      <c r="D6" s="2"/>
      <c r="E6" s="2"/>
      <c r="F6" s="2"/>
      <c r="G6" s="2"/>
      <c r="H6" s="2"/>
      <c r="I6" s="9"/>
      <c r="J6" s="9"/>
    </row>
    <row r="7" spans="1:10" x14ac:dyDescent="0.25">
      <c r="A7" s="2" t="s">
        <v>311</v>
      </c>
      <c r="B7" s="2"/>
      <c r="C7" s="2"/>
      <c r="D7" s="2"/>
      <c r="E7" s="2"/>
      <c r="F7" s="2"/>
      <c r="G7" s="2"/>
      <c r="H7" s="2"/>
      <c r="I7" s="9"/>
      <c r="J7" s="9"/>
    </row>
    <row r="8" spans="1:10" x14ac:dyDescent="0.25">
      <c r="A8" s="2" t="s">
        <v>312</v>
      </c>
      <c r="B8" s="2"/>
      <c r="C8" s="85"/>
      <c r="D8" s="2"/>
      <c r="E8" s="85"/>
      <c r="F8" s="2"/>
      <c r="G8" s="2"/>
      <c r="H8" s="2"/>
      <c r="I8" s="9"/>
      <c r="J8" s="9"/>
    </row>
    <row r="9" spans="1:10" x14ac:dyDescent="0.25">
      <c r="A9" s="2" t="s">
        <v>313</v>
      </c>
      <c r="B9" s="2"/>
      <c r="C9" s="2"/>
      <c r="D9" s="2"/>
      <c r="E9" s="2"/>
      <c r="F9" s="2"/>
      <c r="G9" s="2"/>
      <c r="H9" s="2"/>
      <c r="I9" s="9"/>
      <c r="J9" s="9"/>
    </row>
    <row r="10" spans="1:10" x14ac:dyDescent="0.25">
      <c r="A10" s="2" t="s">
        <v>314</v>
      </c>
      <c r="B10" s="2"/>
      <c r="C10" s="2"/>
      <c r="D10" s="2"/>
      <c r="E10" s="2"/>
      <c r="F10" s="2"/>
      <c r="G10" s="2"/>
      <c r="H10" s="2"/>
      <c r="I10" s="9"/>
      <c r="J10" s="9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9"/>
      <c r="J11" s="9"/>
    </row>
    <row r="12" spans="1:1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spans="1:10" hidden="1" x14ac:dyDescent="0.25">
      <c r="A16" s="2" t="s">
        <v>284</v>
      </c>
      <c r="B16" s="2" t="s">
        <v>294</v>
      </c>
      <c r="C16" s="2" t="s">
        <v>295</v>
      </c>
      <c r="D16" s="2" t="s">
        <v>296</v>
      </c>
      <c r="E16" s="2" t="s">
        <v>297</v>
      </c>
      <c r="F16" s="2" t="s">
        <v>298</v>
      </c>
      <c r="G16" s="2" t="s">
        <v>299</v>
      </c>
      <c r="H16" s="2" t="s">
        <v>300</v>
      </c>
      <c r="I16" s="9"/>
      <c r="J16" s="9"/>
    </row>
    <row r="17" spans="1:10" x14ac:dyDescent="0.25">
      <c r="A17" s="2"/>
      <c r="B17" s="2"/>
      <c r="C17" s="2" t="s">
        <v>315</v>
      </c>
      <c r="D17" s="2" t="s">
        <v>316</v>
      </c>
      <c r="E17" s="2" t="s">
        <v>317</v>
      </c>
      <c r="F17" s="2" t="s">
        <v>318</v>
      </c>
      <c r="G17" s="2"/>
      <c r="H17" s="2"/>
      <c r="I17" s="9"/>
      <c r="J17" s="9"/>
    </row>
    <row r="18" spans="1:10" x14ac:dyDescent="0.25">
      <c r="A18" s="2"/>
      <c r="B18" s="2" t="s">
        <v>303</v>
      </c>
      <c r="C18" s="2" t="s">
        <v>304</v>
      </c>
      <c r="D18" s="2" t="s">
        <v>305</v>
      </c>
      <c r="E18" s="2" t="s">
        <v>304</v>
      </c>
      <c r="F18" s="2" t="s">
        <v>306</v>
      </c>
      <c r="G18" s="2" t="s">
        <v>304</v>
      </c>
      <c r="H18" s="2" t="s">
        <v>307</v>
      </c>
      <c r="I18" s="9"/>
      <c r="J18" s="9"/>
    </row>
    <row r="19" spans="1:10" x14ac:dyDescent="0.25">
      <c r="A19" s="2" t="s">
        <v>308</v>
      </c>
      <c r="B19" s="2" t="s">
        <v>319</v>
      </c>
      <c r="C19" s="2"/>
      <c r="D19" s="2" t="s">
        <v>320</v>
      </c>
      <c r="E19" s="85"/>
      <c r="F19" s="2"/>
      <c r="G19" s="2"/>
      <c r="H19" s="2"/>
      <c r="I19" s="9"/>
      <c r="J19" s="9"/>
    </row>
    <row r="20" spans="1:10" x14ac:dyDescent="0.25">
      <c r="A20" s="2" t="s">
        <v>309</v>
      </c>
      <c r="B20" s="2" t="s">
        <v>321</v>
      </c>
      <c r="C20" s="2" t="s">
        <v>322</v>
      </c>
      <c r="D20" s="2" t="s">
        <v>323</v>
      </c>
      <c r="E20" s="2"/>
      <c r="F20" s="2"/>
      <c r="G20" s="2"/>
      <c r="H20" s="2"/>
      <c r="I20" s="9"/>
      <c r="J20" s="9"/>
    </row>
    <row r="21" spans="1:10" ht="15.75" customHeight="1" x14ac:dyDescent="0.25">
      <c r="A21" s="2" t="s">
        <v>310</v>
      </c>
      <c r="B21" s="2" t="s">
        <v>324</v>
      </c>
      <c r="C21" s="2" t="s">
        <v>325</v>
      </c>
      <c r="D21" s="2" t="s">
        <v>326</v>
      </c>
      <c r="E21" s="2"/>
      <c r="F21" s="2"/>
      <c r="G21" s="2"/>
      <c r="H21" s="2"/>
      <c r="I21" s="9"/>
      <c r="J21" s="9"/>
    </row>
    <row r="22" spans="1:10" ht="15.75" customHeight="1" x14ac:dyDescent="0.25">
      <c r="A22" s="2" t="s">
        <v>311</v>
      </c>
      <c r="B22" s="2" t="s">
        <v>327</v>
      </c>
      <c r="C22" s="12" t="s">
        <v>328</v>
      </c>
      <c r="D22" s="2" t="s">
        <v>329</v>
      </c>
      <c r="E22" s="2"/>
      <c r="F22" s="2"/>
      <c r="G22" s="2"/>
      <c r="H22" s="2"/>
      <c r="I22" s="9"/>
      <c r="J22" s="9"/>
    </row>
    <row r="23" spans="1:10" ht="15.75" customHeight="1" x14ac:dyDescent="0.25">
      <c r="A23" s="2" t="s">
        <v>312</v>
      </c>
      <c r="B23" s="2" t="s">
        <v>330</v>
      </c>
      <c r="C23" s="2"/>
      <c r="D23" s="2" t="s">
        <v>331</v>
      </c>
      <c r="E23" s="2"/>
      <c r="F23" s="2"/>
      <c r="G23" s="2"/>
      <c r="H23" s="2"/>
      <c r="I23" s="9"/>
      <c r="J23" s="9"/>
    </row>
    <row r="24" spans="1:10" ht="15.75" customHeight="1" x14ac:dyDescent="0.25">
      <c r="A24" s="2" t="s">
        <v>313</v>
      </c>
      <c r="B24" s="2"/>
      <c r="C24" s="2"/>
      <c r="D24" s="2"/>
      <c r="E24" s="2"/>
      <c r="F24" s="2"/>
      <c r="G24" s="2"/>
      <c r="H24" s="2"/>
      <c r="I24" s="9"/>
      <c r="J24" s="9"/>
    </row>
    <row r="25" spans="1:10" ht="15.75" customHeight="1" x14ac:dyDescent="0.25">
      <c r="A25" s="2" t="s">
        <v>314</v>
      </c>
      <c r="B25" s="2"/>
      <c r="C25" s="2"/>
      <c r="D25" s="2"/>
      <c r="E25" s="2"/>
      <c r="F25" s="2"/>
      <c r="G25" s="2"/>
      <c r="H25" s="2"/>
      <c r="I25" s="9"/>
      <c r="J25" s="9"/>
    </row>
    <row r="26" spans="1:10" ht="15.75" customHeight="1" x14ac:dyDescent="0.25">
      <c r="A26" s="2"/>
      <c r="B26" s="2"/>
      <c r="C26" s="2"/>
      <c r="D26" s="2"/>
      <c r="E26" s="2"/>
      <c r="F26" s="2"/>
      <c r="G26" s="2"/>
      <c r="H26" s="2"/>
      <c r="I26" s="9"/>
      <c r="J26" s="9"/>
    </row>
    <row r="27" spans="1:10" ht="15.75" customHeight="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0" ht="15.7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0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0" ht="15.75" customHeight="1" x14ac:dyDescent="0.25">
      <c r="A30" s="9"/>
      <c r="B30" s="9"/>
      <c r="C30" s="9"/>
      <c r="D30" s="9" t="s">
        <v>301</v>
      </c>
      <c r="E30" s="9" t="s">
        <v>302</v>
      </c>
      <c r="F30" s="9"/>
      <c r="G30" s="9"/>
      <c r="H30" s="9"/>
    </row>
    <row r="31" spans="1:10" ht="15.75" customHeight="1" x14ac:dyDescent="0.25">
      <c r="A31" s="9"/>
      <c r="B31" s="9" t="s">
        <v>303</v>
      </c>
      <c r="C31" s="9" t="s">
        <v>304</v>
      </c>
      <c r="D31" s="9" t="s">
        <v>305</v>
      </c>
      <c r="E31" s="9" t="s">
        <v>304</v>
      </c>
      <c r="F31" s="9" t="s">
        <v>306</v>
      </c>
      <c r="G31" s="9" t="s">
        <v>304</v>
      </c>
      <c r="H31" s="9" t="s">
        <v>307</v>
      </c>
    </row>
    <row r="32" spans="1:10" ht="15.75" customHeight="1" x14ac:dyDescent="0.25">
      <c r="A32" s="9" t="s">
        <v>308</v>
      </c>
      <c r="B32" s="9"/>
      <c r="C32" s="9"/>
      <c r="D32" s="9"/>
      <c r="E32" s="9"/>
      <c r="F32" s="9"/>
      <c r="G32" s="9"/>
      <c r="H32" s="9"/>
    </row>
    <row r="33" spans="1:8" ht="15.75" customHeight="1" x14ac:dyDescent="0.25">
      <c r="A33" s="9" t="s">
        <v>309</v>
      </c>
      <c r="B33" s="9" t="s">
        <v>332</v>
      </c>
      <c r="C33" s="86" t="s">
        <v>333</v>
      </c>
      <c r="D33" s="9" t="s">
        <v>334</v>
      </c>
      <c r="E33" s="86" t="s">
        <v>335</v>
      </c>
      <c r="F33" s="9" t="s">
        <v>281</v>
      </c>
      <c r="G33" s="9"/>
      <c r="H33" s="9"/>
    </row>
    <row r="34" spans="1:8" ht="15.75" customHeight="1" x14ac:dyDescent="0.25">
      <c r="A34" s="9" t="s">
        <v>310</v>
      </c>
      <c r="B34" s="9" t="s">
        <v>336</v>
      </c>
      <c r="C34" s="86" t="s">
        <v>337</v>
      </c>
      <c r="D34" s="9" t="s">
        <v>338</v>
      </c>
      <c r="E34" s="9"/>
      <c r="F34" s="9"/>
      <c r="G34" s="9"/>
      <c r="H34" s="9"/>
    </row>
    <row r="35" spans="1:8" ht="15.75" customHeight="1" x14ac:dyDescent="0.25">
      <c r="A35" s="9" t="s">
        <v>311</v>
      </c>
      <c r="B35" s="9" t="s">
        <v>339</v>
      </c>
      <c r="C35" s="86" t="s">
        <v>340</v>
      </c>
      <c r="D35" s="9" t="s">
        <v>341</v>
      </c>
      <c r="E35" s="9"/>
      <c r="F35" s="9"/>
      <c r="G35" s="9"/>
      <c r="H35" s="9"/>
    </row>
    <row r="36" spans="1:8" ht="15.75" customHeight="1" x14ac:dyDescent="0.25">
      <c r="A36" s="9" t="s">
        <v>312</v>
      </c>
      <c r="B36" s="9" t="s">
        <v>342</v>
      </c>
      <c r="C36" s="9"/>
      <c r="D36" s="9" t="s">
        <v>341</v>
      </c>
      <c r="E36" s="9"/>
      <c r="F36" s="9"/>
      <c r="G36" s="9"/>
      <c r="H36" s="9"/>
    </row>
    <row r="37" spans="1:8" ht="15.75" customHeight="1" x14ac:dyDescent="0.25">
      <c r="A37" s="9" t="s">
        <v>313</v>
      </c>
      <c r="B37" s="9" t="s">
        <v>343</v>
      </c>
      <c r="C37" s="86" t="s">
        <v>344</v>
      </c>
      <c r="D37" s="9" t="s">
        <v>345</v>
      </c>
      <c r="E37" s="9"/>
      <c r="F37" s="9"/>
      <c r="G37" s="9"/>
      <c r="H37" s="9"/>
    </row>
    <row r="38" spans="1:8" ht="15.75" customHeight="1" x14ac:dyDescent="0.25">
      <c r="A38" s="9" t="s">
        <v>314</v>
      </c>
      <c r="B38" s="9"/>
      <c r="C38" s="9"/>
      <c r="D38" s="9"/>
      <c r="E38" s="9"/>
      <c r="F38" s="9"/>
      <c r="G38" s="9"/>
      <c r="H38" s="9"/>
    </row>
    <row r="39" spans="1:8" ht="15.75" customHeight="1" x14ac:dyDescent="0.25">
      <c r="A39" s="9"/>
      <c r="B39" s="9"/>
      <c r="C39" s="9"/>
      <c r="D39" s="9"/>
      <c r="E39" s="9"/>
      <c r="F39" s="9"/>
      <c r="G39" s="9"/>
      <c r="H39" s="9"/>
    </row>
    <row r="40" spans="1:8" ht="15.75" customHeight="1" x14ac:dyDescent="0.25"/>
    <row r="41" spans="1:8" ht="15.75" customHeight="1" x14ac:dyDescent="0.25">
      <c r="A41" s="9"/>
      <c r="B41" s="9"/>
      <c r="C41" s="9" t="s">
        <v>315</v>
      </c>
      <c r="D41" s="9" t="s">
        <v>316</v>
      </c>
      <c r="E41" s="9" t="s">
        <v>317</v>
      </c>
      <c r="F41" s="9" t="s">
        <v>318</v>
      </c>
      <c r="G41" s="9"/>
      <c r="H41" s="9"/>
    </row>
    <row r="42" spans="1:8" ht="15.75" customHeight="1" x14ac:dyDescent="0.25">
      <c r="A42" s="9"/>
      <c r="B42" s="9" t="s">
        <v>303</v>
      </c>
      <c r="C42" s="9" t="s">
        <v>304</v>
      </c>
      <c r="D42" s="9" t="s">
        <v>305</v>
      </c>
      <c r="E42" s="9" t="s">
        <v>304</v>
      </c>
      <c r="F42" s="9" t="s">
        <v>306</v>
      </c>
      <c r="G42" s="9" t="s">
        <v>304</v>
      </c>
      <c r="H42" s="9" t="s">
        <v>307</v>
      </c>
    </row>
    <row r="43" spans="1:8" ht="15.75" customHeight="1" x14ac:dyDescent="0.25">
      <c r="A43" s="9" t="s">
        <v>308</v>
      </c>
      <c r="B43" s="9"/>
      <c r="C43" s="9"/>
      <c r="D43" s="9"/>
      <c r="E43" s="9"/>
      <c r="F43" s="9"/>
      <c r="G43" s="9"/>
      <c r="H43" s="9"/>
    </row>
    <row r="44" spans="1:8" ht="15.75" customHeight="1" x14ac:dyDescent="0.25">
      <c r="A44" s="9" t="s">
        <v>309</v>
      </c>
      <c r="B44" s="9"/>
      <c r="C44" s="9"/>
      <c r="D44" s="9"/>
      <c r="E44" s="9"/>
      <c r="F44" s="9"/>
      <c r="G44" s="9"/>
      <c r="H44" s="9"/>
    </row>
    <row r="45" spans="1:8" ht="15.75" customHeight="1" x14ac:dyDescent="0.25">
      <c r="A45" s="9" t="s">
        <v>310</v>
      </c>
      <c r="B45" s="9" t="s">
        <v>336</v>
      </c>
      <c r="C45" s="86" t="s">
        <v>337</v>
      </c>
      <c r="D45" s="9" t="s">
        <v>346</v>
      </c>
      <c r="E45" s="9"/>
      <c r="F45" s="9"/>
      <c r="G45" s="9"/>
      <c r="H45" s="9"/>
    </row>
    <row r="46" spans="1:8" ht="15.75" customHeight="1" x14ac:dyDescent="0.25">
      <c r="A46" s="9" t="s">
        <v>311</v>
      </c>
      <c r="B46" s="9" t="s">
        <v>347</v>
      </c>
      <c r="C46" s="86" t="s">
        <v>348</v>
      </c>
      <c r="D46" s="9" t="s">
        <v>349</v>
      </c>
      <c r="E46" s="9" t="s">
        <v>350</v>
      </c>
      <c r="F46" s="9"/>
      <c r="G46" s="9"/>
      <c r="H46" s="9"/>
    </row>
    <row r="47" spans="1:8" ht="15.75" customHeight="1" x14ac:dyDescent="0.25">
      <c r="A47" s="9" t="s">
        <v>312</v>
      </c>
      <c r="B47" s="9" t="s">
        <v>351</v>
      </c>
      <c r="C47" s="86" t="s">
        <v>352</v>
      </c>
      <c r="D47" s="9" t="s">
        <v>353</v>
      </c>
      <c r="E47" s="86" t="s">
        <v>354</v>
      </c>
      <c r="F47" s="9"/>
      <c r="G47" s="9"/>
      <c r="H47" s="9"/>
    </row>
    <row r="48" spans="1:8" ht="15.75" customHeight="1" x14ac:dyDescent="0.25">
      <c r="A48" s="9" t="s">
        <v>313</v>
      </c>
      <c r="B48" s="9" t="s">
        <v>355</v>
      </c>
      <c r="C48" s="86" t="s">
        <v>356</v>
      </c>
      <c r="D48" s="9" t="s">
        <v>357</v>
      </c>
      <c r="E48" s="9" t="s">
        <v>350</v>
      </c>
      <c r="F48" s="9"/>
      <c r="G48" s="9"/>
      <c r="H48" s="9"/>
    </row>
    <row r="49" spans="1:8" ht="15.75" customHeight="1" x14ac:dyDescent="0.25">
      <c r="A49" s="9" t="s">
        <v>314</v>
      </c>
      <c r="B49" s="9" t="s">
        <v>358</v>
      </c>
      <c r="C49" s="9"/>
      <c r="D49" s="9"/>
      <c r="E49" s="9"/>
      <c r="F49" s="9"/>
      <c r="G49" s="9"/>
      <c r="H49" s="9"/>
    </row>
    <row r="50" spans="1:8" ht="15.75" customHeight="1" x14ac:dyDescent="0.25">
      <c r="A50" s="9"/>
      <c r="B50" s="9"/>
      <c r="C50" s="9"/>
      <c r="D50" s="9"/>
      <c r="E50" s="9"/>
      <c r="F50" s="9"/>
      <c r="G50" s="9"/>
      <c r="H50" s="9"/>
    </row>
    <row r="51" spans="1:8" ht="15.75" customHeight="1" x14ac:dyDescent="0.25"/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C33" r:id="rId1" xr:uid="{00000000-0004-0000-1A00-000000000000}"/>
    <hyperlink ref="E33" r:id="rId2" xr:uid="{00000000-0004-0000-1A00-000001000000}"/>
    <hyperlink ref="C34" r:id="rId3" xr:uid="{00000000-0004-0000-1A00-000002000000}"/>
    <hyperlink ref="C35" r:id="rId4" xr:uid="{00000000-0004-0000-1A00-000003000000}"/>
    <hyperlink ref="C37" r:id="rId5" xr:uid="{00000000-0004-0000-1A00-000004000000}"/>
    <hyperlink ref="C45" r:id="rId6" xr:uid="{00000000-0004-0000-1A00-000005000000}"/>
    <hyperlink ref="C46" r:id="rId7" location="google_vignette" xr:uid="{00000000-0004-0000-1A00-000006000000}"/>
    <hyperlink ref="C47" r:id="rId8" xr:uid="{00000000-0004-0000-1A00-000007000000}"/>
    <hyperlink ref="E47" r:id="rId9" xr:uid="{00000000-0004-0000-1A00-000008000000}"/>
    <hyperlink ref="C48" r:id="rId10" xr:uid="{00000000-0004-0000-1A00-000009000000}"/>
  </hyperlinks>
  <pageMargins left="0.7" right="0.7" top="0.75" bottom="0.75" header="0" footer="0"/>
  <pageSetup orientation="landscape"/>
  <tableParts count="4">
    <tablePart r:id="rId11"/>
    <tablePart r:id="rId12"/>
    <tablePart r:id="rId13"/>
    <tablePart r:id="rId1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1000"/>
  <sheetViews>
    <sheetView workbookViewId="0"/>
  </sheetViews>
  <sheetFormatPr defaultColWidth="14.42578125" defaultRowHeight="15" customHeight="1" x14ac:dyDescent="0.25"/>
  <cols>
    <col min="1" max="2" width="12" customWidth="1"/>
    <col min="3" max="3" width="12.28515625" customWidth="1"/>
    <col min="4" max="4" width="12" customWidth="1"/>
    <col min="5" max="5" width="12.42578125" customWidth="1"/>
    <col min="6" max="6" width="11" customWidth="1"/>
    <col min="7" max="7" width="10.140625" customWidth="1"/>
    <col min="8" max="11" width="8.7109375" customWidth="1"/>
    <col min="12" max="12" width="9.42578125" customWidth="1"/>
    <col min="13" max="13" width="11.140625" customWidth="1"/>
    <col min="14" max="14" width="9.28515625" customWidth="1"/>
    <col min="15" max="31" width="8.7109375" customWidth="1"/>
  </cols>
  <sheetData>
    <row r="1" spans="1:17" x14ac:dyDescent="0.25">
      <c r="A1" s="1" t="s">
        <v>171</v>
      </c>
      <c r="B1" s="1" t="s">
        <v>254</v>
      </c>
      <c r="C1" s="1" t="s">
        <v>10</v>
      </c>
      <c r="D1" s="1" t="s">
        <v>255</v>
      </c>
      <c r="E1" s="1" t="s">
        <v>175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7" x14ac:dyDescent="0.25">
      <c r="A2" s="59"/>
      <c r="B2" s="60"/>
      <c r="C2" s="61"/>
      <c r="D2" s="61" t="s">
        <v>261</v>
      </c>
      <c r="E2" s="61" t="s">
        <v>262</v>
      </c>
      <c r="F2" s="61"/>
      <c r="G2" s="61"/>
      <c r="H2" s="61"/>
      <c r="I2" s="61"/>
      <c r="J2" s="62"/>
      <c r="K2" s="9"/>
      <c r="L2" s="9"/>
      <c r="M2" s="9"/>
      <c r="N2" s="9"/>
      <c r="O2" s="9"/>
      <c r="P2" s="9"/>
      <c r="Q2" s="9"/>
    </row>
    <row r="3" spans="1:17" x14ac:dyDescent="0.25">
      <c r="A3" s="19"/>
      <c r="B3" s="9" t="s">
        <v>263</v>
      </c>
      <c r="C3" s="9" t="s">
        <v>173</v>
      </c>
      <c r="D3" s="9">
        <v>700</v>
      </c>
      <c r="E3" s="9">
        <f t="shared" ref="E3:E4" si="0">(D3+F3)</f>
        <v>106</v>
      </c>
      <c r="F3" s="9">
        <v>-594</v>
      </c>
      <c r="G3" s="9">
        <v>-295</v>
      </c>
      <c r="H3" s="9">
        <v>-299</v>
      </c>
      <c r="I3" s="9"/>
      <c r="J3" s="63"/>
      <c r="K3" s="9"/>
      <c r="L3" s="9"/>
      <c r="M3" s="9"/>
      <c r="N3" s="9"/>
      <c r="O3" s="9"/>
      <c r="P3" s="9"/>
      <c r="Q3" s="9"/>
    </row>
    <row r="4" spans="1:17" x14ac:dyDescent="0.25">
      <c r="A4" s="19" t="s">
        <v>264</v>
      </c>
      <c r="B4" s="9" t="s">
        <v>14</v>
      </c>
      <c r="C4" s="9" t="s">
        <v>173</v>
      </c>
      <c r="D4" s="9">
        <v>715</v>
      </c>
      <c r="E4" s="9">
        <f t="shared" si="0"/>
        <v>0.56999999999993634</v>
      </c>
      <c r="F4" s="9">
        <f>(G4+H4+I4+J4)</f>
        <v>-714.43000000000006</v>
      </c>
      <c r="G4" s="9">
        <f>(-9.5-54-46)</f>
        <v>-109.5</v>
      </c>
      <c r="H4" s="9">
        <f>(-12-15.43)</f>
        <v>-27.43</v>
      </c>
      <c r="I4" s="9">
        <f>(-20.5-13-33)</f>
        <v>-66.5</v>
      </c>
      <c r="J4" s="63">
        <f>(-511)</f>
        <v>-511</v>
      </c>
      <c r="K4" s="9"/>
      <c r="L4" s="9" t="s">
        <v>265</v>
      </c>
      <c r="M4" s="9" t="s">
        <v>266</v>
      </c>
      <c r="N4" s="9" t="s">
        <v>12</v>
      </c>
      <c r="O4" s="9"/>
      <c r="P4" s="9"/>
      <c r="Q4" s="9"/>
    </row>
    <row r="5" spans="1:17" x14ac:dyDescent="0.25">
      <c r="A5" s="19" t="s">
        <v>267</v>
      </c>
      <c r="B5" s="9" t="s">
        <v>263</v>
      </c>
      <c r="C5" s="9" t="s">
        <v>177</v>
      </c>
      <c r="D5" s="9">
        <v>3110</v>
      </c>
      <c r="E5" s="9">
        <f t="shared" ref="E5:E23" si="1">D5+F5</f>
        <v>3110</v>
      </c>
      <c r="F5" s="9"/>
      <c r="G5" s="9"/>
      <c r="H5" s="9"/>
      <c r="I5" s="9"/>
      <c r="J5" s="63"/>
      <c r="K5" s="9"/>
      <c r="L5" s="9" t="s">
        <v>263</v>
      </c>
      <c r="M5" s="9">
        <f>(D3+D5+D8+D10+D14+D15+D38+D16+D18+D21+D22+D23+D25+D26+D27+D30+D35+D19+D34)</f>
        <v>7657</v>
      </c>
      <c r="N5" s="9">
        <f>(E3+E5+E8+E10+E14+E15+E16+E18+E19+E21+E22+E23+D35)</f>
        <v>5963</v>
      </c>
      <c r="O5" s="9"/>
      <c r="P5" s="9"/>
      <c r="Q5" s="9"/>
    </row>
    <row r="6" spans="1:17" x14ac:dyDescent="0.25">
      <c r="A6" s="19" t="s">
        <v>264</v>
      </c>
      <c r="B6" s="9" t="s">
        <v>14</v>
      </c>
      <c r="C6" s="9" t="s">
        <v>268</v>
      </c>
      <c r="D6" s="9">
        <v>75</v>
      </c>
      <c r="E6" s="9">
        <f t="shared" si="1"/>
        <v>0</v>
      </c>
      <c r="F6" s="9">
        <f>(-75)</f>
        <v>-75</v>
      </c>
      <c r="G6" s="9"/>
      <c r="H6" s="9"/>
      <c r="I6" s="9"/>
      <c r="J6" s="63"/>
      <c r="K6" s="9"/>
      <c r="L6" s="9" t="s">
        <v>14</v>
      </c>
      <c r="M6" s="9">
        <f>(D4+D6+D7+D11+D9+D34+D12+D13+D17+D20+D29+D31+D36+D37)</f>
        <v>4136</v>
      </c>
      <c r="N6" s="9">
        <f>(E4+E6+E7+E11+E12+E13+E17+E20+E29+E31)</f>
        <v>45.569999999999936</v>
      </c>
      <c r="O6" s="9"/>
      <c r="P6" s="9"/>
      <c r="Q6" s="9"/>
    </row>
    <row r="7" spans="1:17" x14ac:dyDescent="0.25">
      <c r="A7" s="19" t="s">
        <v>264</v>
      </c>
      <c r="B7" s="9" t="s">
        <v>14</v>
      </c>
      <c r="C7" s="9" t="s">
        <v>73</v>
      </c>
      <c r="D7" s="9">
        <v>30</v>
      </c>
      <c r="E7" s="9">
        <f t="shared" si="1"/>
        <v>0</v>
      </c>
      <c r="F7" s="9">
        <v>-30</v>
      </c>
      <c r="G7" s="9"/>
      <c r="H7" s="9"/>
      <c r="I7" s="9"/>
      <c r="J7" s="63"/>
      <c r="K7" s="9"/>
      <c r="L7" s="9" t="s">
        <v>269</v>
      </c>
      <c r="M7" s="9">
        <f>M6+M5</f>
        <v>11793</v>
      </c>
      <c r="N7" s="9"/>
      <c r="O7" s="9"/>
      <c r="P7" s="9"/>
      <c r="Q7" s="9"/>
    </row>
    <row r="8" spans="1:17" x14ac:dyDescent="0.25">
      <c r="A8" s="19"/>
      <c r="B8" s="9" t="s">
        <v>263</v>
      </c>
      <c r="C8" s="9" t="s">
        <v>56</v>
      </c>
      <c r="D8" s="9">
        <v>200</v>
      </c>
      <c r="E8" s="9">
        <f t="shared" si="1"/>
        <v>200</v>
      </c>
      <c r="F8" s="9"/>
      <c r="G8" s="9"/>
      <c r="H8" s="9"/>
      <c r="I8" s="9"/>
      <c r="J8" s="63"/>
      <c r="K8" s="9"/>
      <c r="L8" s="9"/>
      <c r="M8" s="9"/>
      <c r="N8" s="9"/>
      <c r="O8" s="9"/>
      <c r="P8" s="9"/>
      <c r="Q8" s="9"/>
    </row>
    <row r="9" spans="1:17" x14ac:dyDescent="0.25">
      <c r="A9" s="19" t="s">
        <v>264</v>
      </c>
      <c r="B9" s="9" t="s">
        <v>14</v>
      </c>
      <c r="C9" s="9" t="s">
        <v>24</v>
      </c>
      <c r="D9" s="9">
        <v>300</v>
      </c>
      <c r="E9" s="9">
        <f t="shared" si="1"/>
        <v>0</v>
      </c>
      <c r="F9" s="9">
        <f>(-300)</f>
        <v>-300</v>
      </c>
      <c r="G9" s="9"/>
      <c r="H9" s="9"/>
      <c r="I9" s="9"/>
      <c r="J9" s="63"/>
      <c r="K9" s="9"/>
      <c r="L9" s="9"/>
      <c r="M9" s="9"/>
      <c r="N9" s="9"/>
      <c r="O9" s="9"/>
      <c r="P9" s="9"/>
      <c r="Q9" s="9"/>
    </row>
    <row r="10" spans="1:17" x14ac:dyDescent="0.25">
      <c r="A10" s="19"/>
      <c r="B10" s="9" t="s">
        <v>263</v>
      </c>
      <c r="C10" s="9" t="s">
        <v>51</v>
      </c>
      <c r="D10" s="9">
        <v>1025</v>
      </c>
      <c r="E10" s="9">
        <f t="shared" si="1"/>
        <v>1025</v>
      </c>
      <c r="F10" s="9"/>
      <c r="G10" s="9"/>
      <c r="H10" s="9"/>
      <c r="I10" s="9"/>
      <c r="J10" s="63"/>
      <c r="K10" s="9"/>
      <c r="L10" s="9"/>
      <c r="M10" s="9"/>
      <c r="N10" s="9"/>
      <c r="O10" s="9"/>
      <c r="P10" s="9"/>
      <c r="Q10" s="9"/>
    </row>
    <row r="11" spans="1:17" x14ac:dyDescent="0.25">
      <c r="A11" s="19" t="s">
        <v>181</v>
      </c>
      <c r="B11" s="9" t="s">
        <v>14</v>
      </c>
      <c r="C11" s="9" t="s">
        <v>359</v>
      </c>
      <c r="D11" s="9">
        <v>700</v>
      </c>
      <c r="E11" s="9">
        <f t="shared" si="1"/>
        <v>0</v>
      </c>
      <c r="F11" s="9">
        <f>(-700)</f>
        <v>-700</v>
      </c>
      <c r="G11" s="9"/>
      <c r="H11" s="9"/>
      <c r="I11" s="9"/>
      <c r="J11" s="63"/>
      <c r="K11" s="9"/>
    </row>
    <row r="12" spans="1:17" ht="13.5" customHeight="1" x14ac:dyDescent="0.25">
      <c r="A12" s="19" t="s">
        <v>264</v>
      </c>
      <c r="B12" s="9" t="s">
        <v>14</v>
      </c>
      <c r="C12" s="9" t="s">
        <v>178</v>
      </c>
      <c r="D12" s="9">
        <v>760</v>
      </c>
      <c r="E12" s="9">
        <f t="shared" si="1"/>
        <v>0</v>
      </c>
      <c r="F12" s="9">
        <f>(-220-240-120-100-80)</f>
        <v>-760</v>
      </c>
      <c r="G12" s="9"/>
      <c r="H12" s="9"/>
      <c r="I12" s="9"/>
      <c r="J12" s="63"/>
      <c r="K12" s="9"/>
    </row>
    <row r="13" spans="1:17" x14ac:dyDescent="0.25">
      <c r="A13" s="19" t="s">
        <v>264</v>
      </c>
      <c r="B13" s="9" t="s">
        <v>14</v>
      </c>
      <c r="C13" s="9" t="s">
        <v>183</v>
      </c>
      <c r="D13" s="9">
        <v>100</v>
      </c>
      <c r="E13" s="9">
        <f t="shared" si="1"/>
        <v>45</v>
      </c>
      <c r="F13" s="9">
        <f>(-55)</f>
        <v>-55</v>
      </c>
      <c r="G13" s="9"/>
      <c r="H13" s="9"/>
      <c r="I13" s="9"/>
      <c r="J13" s="63"/>
      <c r="K13" s="9"/>
    </row>
    <row r="14" spans="1:17" x14ac:dyDescent="0.25">
      <c r="A14" s="19"/>
      <c r="B14" s="9" t="s">
        <v>263</v>
      </c>
      <c r="C14" s="9" t="s">
        <v>52</v>
      </c>
      <c r="D14" s="9">
        <v>200</v>
      </c>
      <c r="E14" s="9">
        <f t="shared" si="1"/>
        <v>200</v>
      </c>
      <c r="F14" s="9"/>
      <c r="G14" s="9"/>
      <c r="H14" s="9"/>
      <c r="I14" s="9"/>
      <c r="J14" s="63"/>
      <c r="K14" s="9"/>
    </row>
    <row r="15" spans="1:17" x14ac:dyDescent="0.25">
      <c r="A15" s="19"/>
      <c r="B15" s="9" t="s">
        <v>263</v>
      </c>
      <c r="C15" s="9" t="s">
        <v>54</v>
      </c>
      <c r="D15" s="9">
        <v>100</v>
      </c>
      <c r="E15" s="9">
        <f t="shared" si="1"/>
        <v>100</v>
      </c>
      <c r="F15" s="9"/>
      <c r="G15" s="9"/>
      <c r="H15" s="9"/>
      <c r="I15" s="9"/>
      <c r="J15" s="63"/>
      <c r="K15" s="9"/>
      <c r="L15" s="9"/>
      <c r="M15" s="9"/>
      <c r="N15" s="9"/>
      <c r="O15" s="9"/>
      <c r="P15" s="9"/>
      <c r="Q15" s="9"/>
    </row>
    <row r="16" spans="1:17" x14ac:dyDescent="0.25">
      <c r="A16" s="19"/>
      <c r="B16" s="9" t="s">
        <v>263</v>
      </c>
      <c r="C16" s="9" t="s">
        <v>270</v>
      </c>
      <c r="D16" s="9">
        <v>50</v>
      </c>
      <c r="E16" s="9">
        <f t="shared" si="1"/>
        <v>50</v>
      </c>
      <c r="F16" s="9"/>
      <c r="G16" s="9"/>
      <c r="H16" s="9"/>
      <c r="I16" s="9"/>
      <c r="J16" s="63"/>
      <c r="K16" s="9"/>
      <c r="L16" s="9" t="s">
        <v>271</v>
      </c>
      <c r="M16" s="9" t="s">
        <v>272</v>
      </c>
      <c r="N16" s="9" t="s">
        <v>273</v>
      </c>
      <c r="O16" s="9" t="s">
        <v>274</v>
      </c>
      <c r="P16" s="9" t="s">
        <v>275</v>
      </c>
      <c r="Q16" s="9"/>
    </row>
    <row r="17" spans="1:17" x14ac:dyDescent="0.25">
      <c r="A17" s="19" t="s">
        <v>181</v>
      </c>
      <c r="B17" s="9" t="s">
        <v>14</v>
      </c>
      <c r="C17" s="9" t="s">
        <v>208</v>
      </c>
      <c r="D17" s="9">
        <v>400</v>
      </c>
      <c r="E17" s="9">
        <f t="shared" si="1"/>
        <v>0</v>
      </c>
      <c r="F17" s="9">
        <f>(-400)</f>
        <v>-400</v>
      </c>
      <c r="G17" s="9"/>
      <c r="H17" s="9"/>
      <c r="I17" s="9"/>
      <c r="J17" s="63"/>
      <c r="K17" s="9"/>
      <c r="L17" s="9" t="s">
        <v>181</v>
      </c>
      <c r="M17" s="9"/>
      <c r="N17" s="9"/>
      <c r="O17" s="9"/>
      <c r="P17" s="9"/>
      <c r="Q17" s="9"/>
    </row>
    <row r="18" spans="1:17" x14ac:dyDescent="0.25">
      <c r="A18" s="19"/>
      <c r="B18" s="9" t="s">
        <v>263</v>
      </c>
      <c r="C18" s="9" t="s">
        <v>208</v>
      </c>
      <c r="D18" s="9">
        <v>400</v>
      </c>
      <c r="E18" s="9">
        <f t="shared" si="1"/>
        <v>400</v>
      </c>
      <c r="F18" s="9"/>
      <c r="G18" s="9"/>
      <c r="H18" s="9"/>
      <c r="I18" s="9"/>
      <c r="J18" s="63"/>
      <c r="K18" s="9"/>
      <c r="L18" s="9" t="s">
        <v>264</v>
      </c>
      <c r="M18" s="9"/>
      <c r="N18" s="9"/>
      <c r="O18" s="9"/>
      <c r="P18" s="9"/>
      <c r="Q18" s="9"/>
    </row>
    <row r="19" spans="1:17" x14ac:dyDescent="0.25">
      <c r="A19" s="19"/>
      <c r="B19" s="9" t="s">
        <v>263</v>
      </c>
      <c r="C19" s="9" t="s">
        <v>243</v>
      </c>
      <c r="D19" s="9">
        <v>300</v>
      </c>
      <c r="E19" s="9">
        <f t="shared" si="1"/>
        <v>300</v>
      </c>
      <c r="F19" s="9"/>
      <c r="G19" s="9"/>
      <c r="H19" s="9"/>
      <c r="I19" s="9"/>
      <c r="J19" s="63"/>
      <c r="K19" s="9"/>
      <c r="L19" s="9" t="s">
        <v>267</v>
      </c>
      <c r="M19" s="9"/>
      <c r="N19" s="9"/>
      <c r="O19" s="9"/>
      <c r="P19" s="9"/>
      <c r="Q19" s="9"/>
    </row>
    <row r="20" spans="1:17" ht="15.75" customHeight="1" x14ac:dyDescent="0.25">
      <c r="A20" s="19" t="s">
        <v>181</v>
      </c>
      <c r="B20" s="9" t="s">
        <v>14</v>
      </c>
      <c r="C20" s="9" t="s">
        <v>181</v>
      </c>
      <c r="D20" s="9">
        <v>56</v>
      </c>
      <c r="E20" s="9">
        <f t="shared" si="1"/>
        <v>0</v>
      </c>
      <c r="F20" s="9">
        <v>-56</v>
      </c>
      <c r="G20" s="9"/>
      <c r="H20" s="9"/>
      <c r="I20" s="9"/>
      <c r="J20" s="63"/>
      <c r="K20" s="9"/>
      <c r="L20" s="9" t="s">
        <v>276</v>
      </c>
      <c r="M20" s="9"/>
      <c r="N20" s="9"/>
      <c r="O20" s="9"/>
      <c r="P20" s="9"/>
      <c r="Q20" s="9"/>
    </row>
    <row r="21" spans="1:17" ht="15.75" customHeight="1" x14ac:dyDescent="0.25">
      <c r="A21" s="19"/>
      <c r="B21" s="9" t="s">
        <v>263</v>
      </c>
      <c r="C21" s="9" t="s">
        <v>179</v>
      </c>
      <c r="D21" s="9">
        <v>128</v>
      </c>
      <c r="E21" s="9">
        <f t="shared" si="1"/>
        <v>128</v>
      </c>
      <c r="F21" s="9"/>
      <c r="G21" s="9"/>
      <c r="H21" s="9"/>
      <c r="I21" s="9"/>
      <c r="J21" s="63"/>
      <c r="K21" s="9"/>
      <c r="L21" s="9" t="s">
        <v>277</v>
      </c>
      <c r="M21" s="9"/>
      <c r="N21" s="9"/>
      <c r="O21" s="9"/>
      <c r="P21" s="9"/>
      <c r="Q21" s="9"/>
    </row>
    <row r="22" spans="1:17" ht="15.75" customHeight="1" x14ac:dyDescent="0.25">
      <c r="A22" s="19"/>
      <c r="B22" s="9" t="s">
        <v>263</v>
      </c>
      <c r="C22" s="9" t="s">
        <v>182</v>
      </c>
      <c r="D22" s="9">
        <v>44</v>
      </c>
      <c r="E22" s="9">
        <f t="shared" si="1"/>
        <v>44</v>
      </c>
      <c r="F22" s="9"/>
      <c r="G22" s="9"/>
      <c r="H22" s="9"/>
      <c r="I22" s="9"/>
      <c r="J22" s="63"/>
      <c r="K22" s="9"/>
      <c r="L22" s="9"/>
      <c r="M22" s="9"/>
      <c r="N22" s="9"/>
      <c r="O22" s="9"/>
      <c r="P22" s="9"/>
      <c r="Q22" s="9"/>
    </row>
    <row r="23" spans="1:17" ht="15.75" customHeight="1" x14ac:dyDescent="0.25">
      <c r="A23" s="19"/>
      <c r="B23" s="9" t="s">
        <v>263</v>
      </c>
      <c r="C23" s="9" t="s">
        <v>278</v>
      </c>
      <c r="D23" s="9">
        <v>200</v>
      </c>
      <c r="E23" s="9">
        <f t="shared" si="1"/>
        <v>200</v>
      </c>
      <c r="F23" s="9"/>
      <c r="G23" s="9"/>
      <c r="H23" s="64"/>
      <c r="I23" s="64"/>
      <c r="J23" s="65"/>
      <c r="K23" s="9"/>
      <c r="L23" s="9"/>
      <c r="M23" s="9"/>
      <c r="N23" s="9"/>
      <c r="O23" s="9"/>
      <c r="P23" s="9"/>
      <c r="Q23" s="9"/>
    </row>
    <row r="24" spans="1:17" ht="15.75" customHeight="1" x14ac:dyDescent="0.25">
      <c r="A24" s="66" t="s">
        <v>187</v>
      </c>
      <c r="B24" s="67"/>
      <c r="C24" s="67"/>
      <c r="D24" s="67" t="s">
        <v>255</v>
      </c>
      <c r="E24" s="68" t="s">
        <v>175</v>
      </c>
      <c r="F24" s="67" t="s">
        <v>256</v>
      </c>
      <c r="G24" s="69" t="s">
        <v>279</v>
      </c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5.75" customHeight="1" x14ac:dyDescent="0.25">
      <c r="A25" s="70"/>
      <c r="B25" s="9" t="s">
        <v>263</v>
      </c>
      <c r="C25" s="9" t="s">
        <v>189</v>
      </c>
      <c r="D25" s="9">
        <v>100</v>
      </c>
      <c r="E25" s="9">
        <f t="shared" ref="E25:E27" si="2">D25+F25</f>
        <v>100</v>
      </c>
      <c r="F25" s="9"/>
      <c r="G25" s="71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.75" customHeight="1" x14ac:dyDescent="0.25">
      <c r="A26" s="70"/>
      <c r="B26" s="9" t="s">
        <v>263</v>
      </c>
      <c r="C26" s="9" t="s">
        <v>186</v>
      </c>
      <c r="D26" s="9">
        <v>100</v>
      </c>
      <c r="E26" s="9">
        <f t="shared" si="2"/>
        <v>100</v>
      </c>
      <c r="F26" s="9"/>
      <c r="G26" s="71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5.75" customHeight="1" x14ac:dyDescent="0.25">
      <c r="A27" s="70"/>
      <c r="B27" s="9" t="s">
        <v>263</v>
      </c>
      <c r="C27" s="9" t="s">
        <v>192</v>
      </c>
      <c r="D27" s="9">
        <v>300</v>
      </c>
      <c r="E27" s="9">
        <f t="shared" si="2"/>
        <v>200</v>
      </c>
      <c r="F27" s="9">
        <f>(-100)</f>
        <v>-100</v>
      </c>
      <c r="G27" s="71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5.75" customHeight="1" x14ac:dyDescent="0.25">
      <c r="A28" s="70"/>
      <c r="B28" s="9" t="s">
        <v>263</v>
      </c>
      <c r="C28" s="9" t="s">
        <v>280</v>
      </c>
      <c r="D28" s="9" t="s">
        <v>281</v>
      </c>
      <c r="E28" s="9" t="s">
        <v>281</v>
      </c>
      <c r="F28" s="9"/>
      <c r="G28" s="71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25">
      <c r="A29" s="70" t="s">
        <v>276</v>
      </c>
      <c r="B29" s="9" t="s">
        <v>14</v>
      </c>
      <c r="C29" s="9" t="s">
        <v>247</v>
      </c>
      <c r="D29" s="9">
        <v>700</v>
      </c>
      <c r="E29" s="9">
        <f t="shared" ref="E29:E31" si="3">D29+F29</f>
        <v>0</v>
      </c>
      <c r="F29" s="9">
        <f>(-300-400)</f>
        <v>-700</v>
      </c>
      <c r="G29" s="71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5.75" customHeight="1" x14ac:dyDescent="0.25">
      <c r="A30" s="70"/>
      <c r="B30" s="9" t="s">
        <v>263</v>
      </c>
      <c r="C30" s="9" t="s">
        <v>61</v>
      </c>
      <c r="D30" s="9">
        <v>500</v>
      </c>
      <c r="E30" s="9">
        <f t="shared" si="3"/>
        <v>500</v>
      </c>
      <c r="F30" s="9"/>
      <c r="G30" s="71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5.75" customHeight="1" x14ac:dyDescent="0.25">
      <c r="A31" s="72" t="s">
        <v>267</v>
      </c>
      <c r="B31" s="73" t="s">
        <v>14</v>
      </c>
      <c r="C31" s="73" t="s">
        <v>282</v>
      </c>
      <c r="D31" s="73">
        <v>200</v>
      </c>
      <c r="E31" s="73">
        <f t="shared" si="3"/>
        <v>0</v>
      </c>
      <c r="F31" s="73">
        <v>-200</v>
      </c>
      <c r="G31" s="74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5.75" customHeight="1" x14ac:dyDescent="0.25">
      <c r="A32" s="75" t="s">
        <v>283</v>
      </c>
      <c r="B32" s="76"/>
      <c r="C32" s="76"/>
      <c r="D32" s="77" t="s">
        <v>255</v>
      </c>
      <c r="E32" s="78" t="s">
        <v>256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5" ht="15.75" hidden="1" customHeight="1" x14ac:dyDescent="0.25">
      <c r="A33" s="79" t="s">
        <v>284</v>
      </c>
      <c r="B33" s="3" t="s">
        <v>14</v>
      </c>
      <c r="C33" s="3" t="s">
        <v>285</v>
      </c>
      <c r="D33" s="3" t="s">
        <v>286</v>
      </c>
      <c r="E33" s="3" t="s">
        <v>287</v>
      </c>
    </row>
    <row r="34" spans="1:5" ht="15.75" customHeight="1" x14ac:dyDescent="0.25">
      <c r="A34" s="80" t="s">
        <v>360</v>
      </c>
      <c r="B34" s="12" t="s">
        <v>263</v>
      </c>
      <c r="C34" s="12" t="s">
        <v>361</v>
      </c>
      <c r="D34" s="12">
        <v>100</v>
      </c>
      <c r="E34" s="81"/>
    </row>
    <row r="35" spans="1:5" ht="15.75" customHeight="1" x14ac:dyDescent="0.25">
      <c r="A35" s="80" t="s">
        <v>360</v>
      </c>
      <c r="B35" s="12" t="s">
        <v>263</v>
      </c>
      <c r="C35" s="12" t="s">
        <v>362</v>
      </c>
      <c r="D35" s="12">
        <v>100</v>
      </c>
      <c r="E35" s="81"/>
    </row>
    <row r="36" spans="1:5" ht="15.75" customHeight="1" x14ac:dyDescent="0.25">
      <c r="A36" s="80"/>
      <c r="B36" s="12" t="s">
        <v>14</v>
      </c>
      <c r="C36" s="12"/>
      <c r="D36" s="12"/>
      <c r="E36" s="81"/>
    </row>
    <row r="37" spans="1:5" ht="15.75" customHeight="1" x14ac:dyDescent="0.25">
      <c r="A37" s="80"/>
      <c r="B37" s="12" t="s">
        <v>291</v>
      </c>
      <c r="C37" s="12"/>
      <c r="D37" s="12"/>
      <c r="E37" s="81"/>
    </row>
    <row r="38" spans="1:5" ht="15.75" customHeight="1" x14ac:dyDescent="0.25">
      <c r="A38" s="82"/>
      <c r="B38" s="83" t="s">
        <v>263</v>
      </c>
      <c r="C38" s="83"/>
      <c r="D38" s="83"/>
      <c r="E38" s="84"/>
    </row>
    <row r="39" spans="1:5" ht="15.75" customHeight="1" x14ac:dyDescent="0.25"/>
    <row r="40" spans="1:5" ht="15.75" customHeight="1" x14ac:dyDescent="0.25"/>
    <row r="41" spans="1:5" ht="15.75" customHeight="1" x14ac:dyDescent="0.25"/>
    <row r="42" spans="1:5" ht="15.75" customHeight="1" x14ac:dyDescent="0.25"/>
    <row r="43" spans="1:5" ht="15.75" customHeight="1" x14ac:dyDescent="0.25"/>
    <row r="44" spans="1:5" ht="15.75" customHeight="1" x14ac:dyDescent="0.25"/>
    <row r="45" spans="1:5" ht="15.75" customHeight="1" x14ac:dyDescent="0.25"/>
    <row r="46" spans="1:5" ht="15.75" customHeight="1" x14ac:dyDescent="0.25"/>
    <row r="47" spans="1:5" ht="15.75" customHeight="1" x14ac:dyDescent="0.25"/>
    <row r="48" spans="1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1001"/>
  <sheetViews>
    <sheetView workbookViewId="0"/>
  </sheetViews>
  <sheetFormatPr defaultColWidth="14.42578125" defaultRowHeight="15" customHeight="1" x14ac:dyDescent="0.25"/>
  <cols>
    <col min="1" max="2" width="12" customWidth="1"/>
    <col min="3" max="3" width="12.28515625" customWidth="1"/>
    <col min="4" max="4" width="12" customWidth="1"/>
    <col min="5" max="5" width="12.42578125" customWidth="1"/>
    <col min="6" max="6" width="11" customWidth="1"/>
    <col min="7" max="11" width="8.7109375" customWidth="1"/>
    <col min="12" max="12" width="9.42578125" customWidth="1"/>
    <col min="13" max="13" width="11.140625" customWidth="1"/>
    <col min="14" max="14" width="9.28515625" customWidth="1"/>
    <col min="15" max="31" width="8.7109375" customWidth="1"/>
  </cols>
  <sheetData>
    <row r="1" spans="1:17" x14ac:dyDescent="0.25">
      <c r="A1" s="1" t="s">
        <v>171</v>
      </c>
      <c r="B1" s="1" t="s">
        <v>254</v>
      </c>
      <c r="C1" s="1" t="s">
        <v>10</v>
      </c>
      <c r="D1" s="1" t="s">
        <v>255</v>
      </c>
      <c r="E1" s="1" t="s">
        <v>175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7" x14ac:dyDescent="0.25">
      <c r="A2" s="59"/>
      <c r="B2" s="60"/>
      <c r="C2" s="61"/>
      <c r="D2" s="61" t="s">
        <v>261</v>
      </c>
      <c r="E2" s="61" t="s">
        <v>262</v>
      </c>
      <c r="F2" s="61"/>
      <c r="G2" s="61"/>
      <c r="H2" s="61"/>
      <c r="I2" s="61"/>
      <c r="J2" s="62"/>
      <c r="K2" s="9"/>
      <c r="L2" s="9"/>
      <c r="M2" s="9"/>
      <c r="N2" s="9"/>
      <c r="O2" s="9"/>
      <c r="P2" s="9"/>
      <c r="Q2" s="9"/>
    </row>
    <row r="3" spans="1:17" x14ac:dyDescent="0.25">
      <c r="A3" s="19"/>
      <c r="B3" s="9" t="s">
        <v>263</v>
      </c>
      <c r="C3" s="9" t="s">
        <v>173</v>
      </c>
      <c r="D3" s="9">
        <v>700</v>
      </c>
      <c r="E3" s="9">
        <f t="shared" ref="E3:E4" si="0">(D3+F3)</f>
        <v>0</v>
      </c>
      <c r="F3" s="9">
        <f t="shared" ref="F3:F4" si="1">(G3+H3+I3+J3)</f>
        <v>-700</v>
      </c>
      <c r="G3" s="9">
        <v>-296</v>
      </c>
      <c r="H3" s="9">
        <v>-190</v>
      </c>
      <c r="I3" s="9">
        <v>-214</v>
      </c>
      <c r="J3" s="63"/>
      <c r="K3" s="9"/>
      <c r="L3" s="9"/>
      <c r="M3" s="9"/>
      <c r="N3" s="9"/>
      <c r="O3" s="9"/>
      <c r="P3" s="9"/>
      <c r="Q3" s="9"/>
    </row>
    <row r="4" spans="1:17" x14ac:dyDescent="0.25">
      <c r="A4" s="19" t="s">
        <v>264</v>
      </c>
      <c r="B4" s="9" t="s">
        <v>14</v>
      </c>
      <c r="C4" s="9" t="s">
        <v>173</v>
      </c>
      <c r="D4" s="9">
        <v>700</v>
      </c>
      <c r="E4" s="9">
        <f t="shared" si="0"/>
        <v>0</v>
      </c>
      <c r="F4" s="9">
        <f t="shared" si="1"/>
        <v>-700</v>
      </c>
      <c r="G4" s="9">
        <f>(-28-10.46-26.17)</f>
        <v>-64.63</v>
      </c>
      <c r="H4" s="9">
        <f>(-38.64-7.49-2.5-4.5-74-10-36.44-33.82)</f>
        <v>-207.39</v>
      </c>
      <c r="I4" s="9">
        <f>(-12.68-115)</f>
        <v>-127.68</v>
      </c>
      <c r="J4" s="63">
        <f>(-8-57-120-25-73-17.3)</f>
        <v>-300.3</v>
      </c>
      <c r="K4" s="9"/>
      <c r="L4" s="9" t="s">
        <v>265</v>
      </c>
      <c r="M4" s="9" t="s">
        <v>266</v>
      </c>
      <c r="N4" s="9" t="s">
        <v>12</v>
      </c>
      <c r="O4" s="9"/>
      <c r="P4" s="9"/>
      <c r="Q4" s="9"/>
    </row>
    <row r="5" spans="1:17" x14ac:dyDescent="0.25">
      <c r="A5" s="19" t="s">
        <v>267</v>
      </c>
      <c r="B5" s="9" t="s">
        <v>263</v>
      </c>
      <c r="C5" s="9" t="s">
        <v>177</v>
      </c>
      <c r="D5" s="9">
        <v>3100</v>
      </c>
      <c r="E5" s="9">
        <f t="shared" ref="E5:E23" si="2">D5+F5</f>
        <v>0</v>
      </c>
      <c r="F5" s="9">
        <v>-3100</v>
      </c>
      <c r="G5" s="9"/>
      <c r="H5" s="9"/>
      <c r="I5" s="9"/>
      <c r="J5" s="63"/>
      <c r="K5" s="9"/>
      <c r="L5" s="9" t="s">
        <v>263</v>
      </c>
      <c r="M5" s="9">
        <f>(D3+D5+D8+D10+D14+D15+D39+D16+D18+D21+D22+D23+D25+D26+D27+D31+D36+D19)</f>
        <v>7797</v>
      </c>
      <c r="N5" s="9">
        <f>(E3+E5+E8+E10+E14+E15+E16+E18+E19+E21+E22+E23+D36)</f>
        <v>324</v>
      </c>
      <c r="O5" s="9"/>
      <c r="P5" s="9"/>
      <c r="Q5" s="9"/>
    </row>
    <row r="6" spans="1:17" x14ac:dyDescent="0.25">
      <c r="A6" s="19" t="s">
        <v>264</v>
      </c>
      <c r="B6" s="9" t="s">
        <v>14</v>
      </c>
      <c r="C6" s="9" t="s">
        <v>268</v>
      </c>
      <c r="D6" s="9">
        <v>75</v>
      </c>
      <c r="E6" s="9">
        <f t="shared" si="2"/>
        <v>0</v>
      </c>
      <c r="F6" s="9">
        <f>(-75)</f>
        <v>-75</v>
      </c>
      <c r="G6" s="9"/>
      <c r="H6" s="9"/>
      <c r="I6" s="9"/>
      <c r="J6" s="63"/>
      <c r="K6" s="9"/>
      <c r="L6" s="9" t="s">
        <v>14</v>
      </c>
      <c r="M6" s="9">
        <f>(D4+D6+D7+D9+D11+D12+D13+D17+D20+D29+D30+D32+D35+D37+D38)</f>
        <v>4011</v>
      </c>
      <c r="N6" s="9">
        <f>(E4+E6+E7+E9+E11+E12+E13+E17+E20)</f>
        <v>368</v>
      </c>
      <c r="O6" s="9"/>
      <c r="P6" s="9"/>
      <c r="Q6" s="9"/>
    </row>
    <row r="7" spans="1:17" x14ac:dyDescent="0.25">
      <c r="A7" s="19" t="s">
        <v>264</v>
      </c>
      <c r="B7" s="9" t="s">
        <v>14</v>
      </c>
      <c r="C7" s="9" t="s">
        <v>73</v>
      </c>
      <c r="D7" s="9">
        <v>30</v>
      </c>
      <c r="E7" s="9">
        <f t="shared" si="2"/>
        <v>0</v>
      </c>
      <c r="F7" s="9">
        <v>-30</v>
      </c>
      <c r="G7" s="9"/>
      <c r="H7" s="9"/>
      <c r="I7" s="9"/>
      <c r="J7" s="63"/>
      <c r="K7" s="9"/>
      <c r="L7" s="9" t="s">
        <v>269</v>
      </c>
      <c r="M7" s="9">
        <f>M6+M5</f>
        <v>11808</v>
      </c>
      <c r="N7" s="9"/>
      <c r="O7" s="9"/>
      <c r="P7" s="9"/>
      <c r="Q7" s="9"/>
    </row>
    <row r="8" spans="1:17" x14ac:dyDescent="0.25">
      <c r="A8" s="19"/>
      <c r="B8" s="9" t="s">
        <v>263</v>
      </c>
      <c r="C8" s="9" t="s">
        <v>56</v>
      </c>
      <c r="D8" s="9">
        <v>130</v>
      </c>
      <c r="E8" s="9">
        <f t="shared" si="2"/>
        <v>130</v>
      </c>
      <c r="F8" s="9"/>
      <c r="G8" s="9"/>
      <c r="H8" s="9"/>
      <c r="I8" s="9"/>
      <c r="J8" s="63"/>
      <c r="K8" s="9"/>
      <c r="L8" s="9"/>
      <c r="M8" s="9"/>
      <c r="N8" s="9"/>
      <c r="O8" s="9"/>
      <c r="P8" s="9"/>
      <c r="Q8" s="9"/>
    </row>
    <row r="9" spans="1:17" x14ac:dyDescent="0.25">
      <c r="A9" s="19" t="s">
        <v>264</v>
      </c>
      <c r="B9" s="9" t="s">
        <v>14</v>
      </c>
      <c r="C9" s="9" t="s">
        <v>24</v>
      </c>
      <c r="D9" s="9">
        <v>300</v>
      </c>
      <c r="E9" s="9">
        <f t="shared" si="2"/>
        <v>300</v>
      </c>
      <c r="F9" s="9"/>
      <c r="G9" s="9"/>
      <c r="H9" s="9"/>
      <c r="I9" s="9"/>
      <c r="J9" s="63"/>
      <c r="K9" s="9"/>
      <c r="L9" s="9"/>
      <c r="M9" s="9"/>
      <c r="N9" s="9"/>
      <c r="O9" s="9"/>
      <c r="P9" s="9"/>
      <c r="Q9" s="9"/>
    </row>
    <row r="10" spans="1:17" x14ac:dyDescent="0.25">
      <c r="A10" s="19"/>
      <c r="B10" s="9" t="s">
        <v>263</v>
      </c>
      <c r="C10" s="9" t="s">
        <v>51</v>
      </c>
      <c r="D10" s="9">
        <v>1040</v>
      </c>
      <c r="E10" s="9">
        <f t="shared" si="2"/>
        <v>0</v>
      </c>
      <c r="F10" s="9">
        <v>-1040</v>
      </c>
      <c r="G10" s="9"/>
      <c r="H10" s="9"/>
      <c r="I10" s="9"/>
      <c r="J10" s="63"/>
      <c r="K10" s="9"/>
      <c r="L10" s="9"/>
      <c r="M10" s="9"/>
      <c r="N10" s="9"/>
      <c r="O10" s="9"/>
      <c r="P10" s="9"/>
      <c r="Q10" s="9"/>
    </row>
    <row r="11" spans="1:17" x14ac:dyDescent="0.25">
      <c r="A11" s="19" t="s">
        <v>181</v>
      </c>
      <c r="B11" s="9" t="s">
        <v>14</v>
      </c>
      <c r="C11" s="9" t="s">
        <v>359</v>
      </c>
      <c r="D11" s="9">
        <v>700</v>
      </c>
      <c r="E11" s="9">
        <f t="shared" si="2"/>
        <v>0</v>
      </c>
      <c r="F11" s="9">
        <v>-700</v>
      </c>
      <c r="G11" s="9"/>
      <c r="H11" s="9"/>
      <c r="I11" s="9"/>
      <c r="J11" s="63"/>
      <c r="K11" s="9"/>
    </row>
    <row r="12" spans="1:17" ht="13.5" customHeight="1" x14ac:dyDescent="0.25">
      <c r="A12" s="19" t="s">
        <v>264</v>
      </c>
      <c r="B12" s="9" t="s">
        <v>14</v>
      </c>
      <c r="C12" s="9" t="s">
        <v>178</v>
      </c>
      <c r="D12" s="9">
        <v>700</v>
      </c>
      <c r="E12" s="9">
        <f t="shared" si="2"/>
        <v>68</v>
      </c>
      <c r="F12" s="9">
        <f>(-200-330-102)</f>
        <v>-632</v>
      </c>
      <c r="G12" s="9"/>
      <c r="H12" s="9"/>
      <c r="I12" s="9"/>
      <c r="J12" s="63"/>
      <c r="K12" s="9"/>
    </row>
    <row r="13" spans="1:17" x14ac:dyDescent="0.25">
      <c r="A13" s="19" t="s">
        <v>264</v>
      </c>
      <c r="B13" s="9" t="s">
        <v>14</v>
      </c>
      <c r="C13" s="9" t="s">
        <v>183</v>
      </c>
      <c r="D13" s="9">
        <v>100</v>
      </c>
      <c r="E13" s="9">
        <f t="shared" si="2"/>
        <v>0</v>
      </c>
      <c r="F13" s="9">
        <f>(-50-18-32)</f>
        <v>-100</v>
      </c>
      <c r="G13" s="9"/>
      <c r="H13" s="9"/>
      <c r="I13" s="9"/>
      <c r="J13" s="63"/>
      <c r="K13" s="9"/>
    </row>
    <row r="14" spans="1:17" x14ac:dyDescent="0.25">
      <c r="A14" s="19"/>
      <c r="B14" s="9" t="s">
        <v>263</v>
      </c>
      <c r="C14" s="9" t="s">
        <v>52</v>
      </c>
      <c r="D14" s="9">
        <v>200</v>
      </c>
      <c r="E14" s="9">
        <f t="shared" si="2"/>
        <v>56</v>
      </c>
      <c r="F14" s="9">
        <v>-144</v>
      </c>
      <c r="G14" s="9"/>
      <c r="H14" s="9"/>
      <c r="I14" s="9"/>
      <c r="J14" s="63"/>
      <c r="K14" s="9"/>
    </row>
    <row r="15" spans="1:17" x14ac:dyDescent="0.25">
      <c r="A15" s="19"/>
      <c r="B15" s="9" t="s">
        <v>263</v>
      </c>
      <c r="C15" s="9" t="s">
        <v>54</v>
      </c>
      <c r="D15" s="9">
        <v>100</v>
      </c>
      <c r="E15" s="9">
        <f t="shared" si="2"/>
        <v>0</v>
      </c>
      <c r="F15" s="9">
        <v>-100</v>
      </c>
      <c r="G15" s="9"/>
      <c r="H15" s="9"/>
      <c r="I15" s="9"/>
      <c r="J15" s="63"/>
      <c r="K15" s="9"/>
      <c r="L15" s="9"/>
      <c r="M15" s="9"/>
      <c r="N15" s="9"/>
      <c r="O15" s="9"/>
      <c r="P15" s="9"/>
      <c r="Q15" s="9"/>
    </row>
    <row r="16" spans="1:17" x14ac:dyDescent="0.25">
      <c r="A16" s="19"/>
      <c r="B16" s="9" t="s">
        <v>263</v>
      </c>
      <c r="C16" s="9" t="s">
        <v>270</v>
      </c>
      <c r="D16" s="9">
        <v>100</v>
      </c>
      <c r="E16" s="9">
        <f t="shared" si="2"/>
        <v>33</v>
      </c>
      <c r="F16" s="9">
        <f>(-49-18)</f>
        <v>-67</v>
      </c>
      <c r="G16" s="9"/>
      <c r="H16" s="9"/>
      <c r="I16" s="9"/>
      <c r="J16" s="63"/>
      <c r="K16" s="9"/>
      <c r="L16" s="9" t="s">
        <v>271</v>
      </c>
      <c r="M16" s="9" t="s">
        <v>272</v>
      </c>
      <c r="N16" s="9" t="s">
        <v>273</v>
      </c>
      <c r="O16" s="9" t="s">
        <v>274</v>
      </c>
      <c r="P16" s="9" t="s">
        <v>275</v>
      </c>
      <c r="Q16" s="9"/>
    </row>
    <row r="17" spans="1:17" x14ac:dyDescent="0.25">
      <c r="A17" s="19" t="s">
        <v>181</v>
      </c>
      <c r="B17" s="9" t="s">
        <v>14</v>
      </c>
      <c r="C17" s="9" t="s">
        <v>208</v>
      </c>
      <c r="D17" s="9">
        <v>500</v>
      </c>
      <c r="E17" s="9">
        <f t="shared" si="2"/>
        <v>0</v>
      </c>
      <c r="F17" s="9">
        <v>-500</v>
      </c>
      <c r="G17" s="9"/>
      <c r="H17" s="9"/>
      <c r="I17" s="9"/>
      <c r="J17" s="63"/>
      <c r="K17" s="9"/>
      <c r="L17" s="9" t="s">
        <v>181</v>
      </c>
      <c r="M17" s="9"/>
      <c r="N17" s="9"/>
      <c r="O17" s="9"/>
      <c r="P17" s="9"/>
      <c r="Q17" s="9"/>
    </row>
    <row r="18" spans="1:17" x14ac:dyDescent="0.25">
      <c r="A18" s="19"/>
      <c r="B18" s="9" t="s">
        <v>263</v>
      </c>
      <c r="C18" s="9" t="s">
        <v>208</v>
      </c>
      <c r="D18" s="9">
        <v>500</v>
      </c>
      <c r="E18" s="9">
        <f t="shared" si="2"/>
        <v>0</v>
      </c>
      <c r="F18" s="9">
        <v>-500</v>
      </c>
      <c r="G18" s="9"/>
      <c r="H18" s="9"/>
      <c r="I18" s="9"/>
      <c r="J18" s="63"/>
      <c r="K18" s="9"/>
      <c r="L18" s="9" t="s">
        <v>264</v>
      </c>
      <c r="M18" s="9"/>
      <c r="N18" s="9"/>
      <c r="O18" s="9"/>
      <c r="P18" s="9"/>
      <c r="Q18" s="9"/>
    </row>
    <row r="19" spans="1:17" x14ac:dyDescent="0.25">
      <c r="A19" s="19"/>
      <c r="B19" s="9" t="s">
        <v>263</v>
      </c>
      <c r="C19" s="9" t="s">
        <v>243</v>
      </c>
      <c r="D19" s="9">
        <v>385</v>
      </c>
      <c r="E19" s="9">
        <f t="shared" si="2"/>
        <v>20</v>
      </c>
      <c r="F19" s="9">
        <v>-365</v>
      </c>
      <c r="G19" s="9"/>
      <c r="H19" s="9"/>
      <c r="I19" s="9"/>
      <c r="J19" s="63"/>
      <c r="K19" s="9"/>
      <c r="L19" s="9" t="s">
        <v>267</v>
      </c>
      <c r="M19" s="9"/>
      <c r="N19" s="9"/>
      <c r="O19" s="9"/>
      <c r="P19" s="9"/>
      <c r="Q19" s="9"/>
    </row>
    <row r="20" spans="1:17" ht="15.75" customHeight="1" x14ac:dyDescent="0.25">
      <c r="A20" s="19" t="s">
        <v>181</v>
      </c>
      <c r="B20" s="9" t="s">
        <v>14</v>
      </c>
      <c r="C20" s="9" t="s">
        <v>181</v>
      </c>
      <c r="D20" s="9">
        <v>50</v>
      </c>
      <c r="E20" s="9">
        <f t="shared" si="2"/>
        <v>0</v>
      </c>
      <c r="F20" s="9">
        <v>-50</v>
      </c>
      <c r="G20" s="9"/>
      <c r="H20" s="9"/>
      <c r="I20" s="9"/>
      <c r="J20" s="63"/>
      <c r="K20" s="9"/>
      <c r="L20" s="9" t="s">
        <v>276</v>
      </c>
      <c r="M20" s="9"/>
      <c r="N20" s="9"/>
      <c r="O20" s="9"/>
      <c r="P20" s="9"/>
      <c r="Q20" s="9"/>
    </row>
    <row r="21" spans="1:17" ht="15.75" customHeight="1" x14ac:dyDescent="0.25">
      <c r="A21" s="19"/>
      <c r="B21" s="9" t="s">
        <v>263</v>
      </c>
      <c r="C21" s="9" t="s">
        <v>179</v>
      </c>
      <c r="D21" s="9">
        <v>128</v>
      </c>
      <c r="E21" s="9">
        <f t="shared" si="2"/>
        <v>0</v>
      </c>
      <c r="F21" s="9">
        <v>-128</v>
      </c>
      <c r="G21" s="9"/>
      <c r="H21" s="9"/>
      <c r="I21" s="9"/>
      <c r="J21" s="63"/>
      <c r="K21" s="9"/>
      <c r="L21" s="9" t="s">
        <v>277</v>
      </c>
      <c r="M21" s="9"/>
      <c r="N21" s="9"/>
      <c r="O21" s="9"/>
      <c r="P21" s="9"/>
      <c r="Q21" s="9"/>
    </row>
    <row r="22" spans="1:17" ht="15.75" customHeight="1" x14ac:dyDescent="0.25">
      <c r="A22" s="19"/>
      <c r="B22" s="9" t="s">
        <v>263</v>
      </c>
      <c r="C22" s="9" t="s">
        <v>182</v>
      </c>
      <c r="D22" s="9">
        <v>44</v>
      </c>
      <c r="E22" s="9">
        <f t="shared" si="2"/>
        <v>0</v>
      </c>
      <c r="F22" s="9">
        <v>-44</v>
      </c>
      <c r="G22" s="9"/>
      <c r="H22" s="9"/>
      <c r="I22" s="9"/>
      <c r="J22" s="63"/>
      <c r="K22" s="9"/>
      <c r="L22" s="9"/>
      <c r="M22" s="9"/>
      <c r="N22" s="9"/>
      <c r="O22" s="9"/>
      <c r="P22" s="9"/>
      <c r="Q22" s="9"/>
    </row>
    <row r="23" spans="1:17" ht="15.75" customHeight="1" x14ac:dyDescent="0.25">
      <c r="A23" s="19"/>
      <c r="B23" s="9" t="s">
        <v>263</v>
      </c>
      <c r="C23" s="9" t="s">
        <v>278</v>
      </c>
      <c r="D23" s="9">
        <v>200</v>
      </c>
      <c r="E23" s="9">
        <f t="shared" si="2"/>
        <v>0</v>
      </c>
      <c r="F23" s="9">
        <v>-200</v>
      </c>
      <c r="G23" s="9"/>
      <c r="H23" s="64"/>
      <c r="I23" s="64"/>
      <c r="J23" s="65"/>
      <c r="K23" s="9"/>
      <c r="L23" s="9"/>
      <c r="M23" s="9"/>
      <c r="N23" s="9"/>
      <c r="O23" s="9"/>
      <c r="P23" s="9"/>
      <c r="Q23" s="9"/>
    </row>
    <row r="24" spans="1:17" ht="15.75" customHeight="1" x14ac:dyDescent="0.25">
      <c r="A24" s="66" t="s">
        <v>187</v>
      </c>
      <c r="B24" s="67"/>
      <c r="C24" s="67"/>
      <c r="D24" s="67" t="s">
        <v>255</v>
      </c>
      <c r="E24" s="67" t="s">
        <v>363</v>
      </c>
      <c r="F24" s="67" t="s">
        <v>364</v>
      </c>
      <c r="G24" s="69" t="s">
        <v>365</v>
      </c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5.75" customHeight="1" x14ac:dyDescent="0.25">
      <c r="A25" s="70"/>
      <c r="B25" s="9" t="s">
        <v>263</v>
      </c>
      <c r="C25" s="9" t="s">
        <v>189</v>
      </c>
      <c r="D25" s="9">
        <v>100</v>
      </c>
      <c r="E25" s="9">
        <v>200</v>
      </c>
      <c r="F25" s="9">
        <v>-100</v>
      </c>
      <c r="G25" s="71">
        <v>300</v>
      </c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.75" customHeight="1" x14ac:dyDescent="0.25">
      <c r="A26" s="19"/>
      <c r="B26" s="9" t="s">
        <v>263</v>
      </c>
      <c r="C26" s="9" t="s">
        <v>186</v>
      </c>
      <c r="D26" s="9">
        <v>100</v>
      </c>
      <c r="E26" s="9">
        <v>300</v>
      </c>
      <c r="F26" s="9">
        <v>-100</v>
      </c>
      <c r="G26" s="71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5.75" customHeight="1" x14ac:dyDescent="0.25">
      <c r="A27" s="70"/>
      <c r="B27" s="9" t="s">
        <v>263</v>
      </c>
      <c r="C27" s="9" t="s">
        <v>192</v>
      </c>
      <c r="D27" s="9">
        <v>300</v>
      </c>
      <c r="E27" s="9">
        <v>270</v>
      </c>
      <c r="F27" s="9">
        <v>-300</v>
      </c>
      <c r="G27" s="71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5.75" customHeight="1" x14ac:dyDescent="0.25">
      <c r="A28" s="70"/>
      <c r="B28" s="9" t="s">
        <v>263</v>
      </c>
      <c r="C28" s="9" t="s">
        <v>280</v>
      </c>
      <c r="D28" s="9" t="s">
        <v>281</v>
      </c>
      <c r="E28" s="9">
        <v>300</v>
      </c>
      <c r="F28" s="9"/>
      <c r="G28" s="71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5.75" customHeight="1" x14ac:dyDescent="0.25">
      <c r="A29" s="70" t="s">
        <v>276</v>
      </c>
      <c r="B29" s="9" t="s">
        <v>14</v>
      </c>
      <c r="C29" s="9" t="s">
        <v>361</v>
      </c>
      <c r="D29" s="9">
        <v>75</v>
      </c>
      <c r="E29" s="9">
        <v>300</v>
      </c>
      <c r="F29" s="9">
        <v>-75</v>
      </c>
      <c r="G29" s="71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25">
      <c r="A30" s="70" t="s">
        <v>276</v>
      </c>
      <c r="B30" s="9" t="s">
        <v>14</v>
      </c>
      <c r="C30" s="9" t="s">
        <v>247</v>
      </c>
      <c r="D30" s="9">
        <v>490</v>
      </c>
      <c r="E30" s="9">
        <v>7598</v>
      </c>
      <c r="F30" s="9">
        <v>-490</v>
      </c>
      <c r="G30" s="71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5.75" customHeight="1" x14ac:dyDescent="0.25">
      <c r="A31" s="70"/>
      <c r="B31" s="9" t="s">
        <v>263</v>
      </c>
      <c r="C31" s="9" t="s">
        <v>61</v>
      </c>
      <c r="D31" s="9">
        <v>400</v>
      </c>
      <c r="E31" s="9">
        <v>1275</v>
      </c>
      <c r="F31" s="9">
        <v>-400</v>
      </c>
      <c r="G31" s="71">
        <v>1675</v>
      </c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5.75" customHeight="1" x14ac:dyDescent="0.25">
      <c r="A32" s="72" t="s">
        <v>267</v>
      </c>
      <c r="B32" s="73" t="s">
        <v>14</v>
      </c>
      <c r="C32" s="73" t="s">
        <v>282</v>
      </c>
      <c r="D32" s="73">
        <v>200</v>
      </c>
      <c r="E32" s="73">
        <v>135</v>
      </c>
      <c r="F32" s="73">
        <v>-200</v>
      </c>
      <c r="G32" s="74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5.75" customHeight="1" x14ac:dyDescent="0.25">
      <c r="A33" s="87" t="s">
        <v>283</v>
      </c>
      <c r="B33" s="88"/>
      <c r="C33" s="88"/>
      <c r="D33" s="77" t="s">
        <v>255</v>
      </c>
      <c r="E33" s="88" t="s">
        <v>256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5.75" hidden="1" customHeight="1" x14ac:dyDescent="0.25">
      <c r="A34" s="3" t="s">
        <v>284</v>
      </c>
      <c r="B34" s="3" t="s">
        <v>14</v>
      </c>
      <c r="C34" s="3" t="s">
        <v>285</v>
      </c>
      <c r="D34" s="3" t="s">
        <v>286</v>
      </c>
      <c r="E34" s="3" t="s">
        <v>287</v>
      </c>
    </row>
    <row r="35" spans="1:17" ht="15.75" customHeight="1" x14ac:dyDescent="0.25">
      <c r="A35" s="12"/>
      <c r="B35" s="12" t="s">
        <v>14</v>
      </c>
      <c r="C35" s="12" t="s">
        <v>366</v>
      </c>
      <c r="D35" s="12">
        <v>31</v>
      </c>
      <c r="E35" s="12">
        <v>-31</v>
      </c>
    </row>
    <row r="36" spans="1:17" ht="15.75" customHeight="1" x14ac:dyDescent="0.25">
      <c r="A36" s="12"/>
      <c r="B36" s="12" t="s">
        <v>263</v>
      </c>
      <c r="C36" s="12" t="s">
        <v>367</v>
      </c>
      <c r="D36" s="12">
        <v>85</v>
      </c>
      <c r="E36" s="12"/>
    </row>
    <row r="37" spans="1:17" ht="15.75" customHeight="1" x14ac:dyDescent="0.25">
      <c r="A37" s="12"/>
      <c r="B37" s="12" t="s">
        <v>14</v>
      </c>
      <c r="C37" s="12" t="s">
        <v>225</v>
      </c>
      <c r="D37" s="12">
        <v>0</v>
      </c>
      <c r="E37" s="12"/>
    </row>
    <row r="38" spans="1:17" ht="15.75" customHeight="1" x14ac:dyDescent="0.25">
      <c r="A38" s="12"/>
      <c r="B38" s="12" t="s">
        <v>291</v>
      </c>
      <c r="C38" s="12" t="s">
        <v>368</v>
      </c>
      <c r="D38" s="12">
        <v>60</v>
      </c>
      <c r="E38" s="12">
        <f>(-60)</f>
        <v>-60</v>
      </c>
    </row>
    <row r="39" spans="1:17" ht="15.75" customHeight="1" x14ac:dyDescent="0.25">
      <c r="A39" s="12"/>
      <c r="B39" s="12" t="s">
        <v>263</v>
      </c>
      <c r="C39" s="12" t="s">
        <v>369</v>
      </c>
      <c r="D39" s="12">
        <v>185</v>
      </c>
      <c r="E39" s="12">
        <v>-185</v>
      </c>
    </row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1001"/>
  <sheetViews>
    <sheetView workbookViewId="0"/>
  </sheetViews>
  <sheetFormatPr defaultColWidth="14.42578125" defaultRowHeight="15" customHeight="1" x14ac:dyDescent="0.25"/>
  <cols>
    <col min="1" max="2" width="12" customWidth="1"/>
    <col min="3" max="3" width="12.28515625" customWidth="1"/>
    <col min="4" max="4" width="12" customWidth="1"/>
    <col min="5" max="5" width="12.42578125" customWidth="1"/>
    <col min="6" max="6" width="11" customWidth="1"/>
    <col min="7" max="11" width="8.7109375" customWidth="1"/>
    <col min="12" max="12" width="9.42578125" customWidth="1"/>
    <col min="13" max="13" width="11.140625" customWidth="1"/>
    <col min="14" max="14" width="9.28515625" customWidth="1"/>
    <col min="15" max="31" width="8.7109375" customWidth="1"/>
  </cols>
  <sheetData>
    <row r="1" spans="1:17" x14ac:dyDescent="0.25">
      <c r="A1" s="1" t="s">
        <v>171</v>
      </c>
      <c r="B1" s="1" t="s">
        <v>254</v>
      </c>
      <c r="C1" s="1" t="s">
        <v>10</v>
      </c>
      <c r="D1" s="1" t="s">
        <v>255</v>
      </c>
      <c r="E1" s="1" t="s">
        <v>175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7" x14ac:dyDescent="0.25">
      <c r="A2" s="59"/>
      <c r="B2" s="60"/>
      <c r="C2" s="61"/>
      <c r="D2" s="61" t="s">
        <v>261</v>
      </c>
      <c r="E2" s="61" t="s">
        <v>262</v>
      </c>
      <c r="F2" s="61"/>
      <c r="G2" s="61"/>
      <c r="H2" s="61"/>
      <c r="I2" s="61"/>
      <c r="J2" s="62"/>
      <c r="K2" s="9"/>
      <c r="L2" s="9"/>
      <c r="M2" s="9"/>
      <c r="N2" s="9"/>
      <c r="O2" s="9"/>
      <c r="P2" s="9"/>
      <c r="Q2" s="9"/>
    </row>
    <row r="3" spans="1:17" x14ac:dyDescent="0.25">
      <c r="A3" s="19"/>
      <c r="B3" s="9" t="s">
        <v>263</v>
      </c>
      <c r="C3" s="9" t="s">
        <v>173</v>
      </c>
      <c r="D3" s="9">
        <v>700</v>
      </c>
      <c r="E3" s="9">
        <f t="shared" ref="E3:E4" si="0">(D3+F3)</f>
        <v>136</v>
      </c>
      <c r="F3" s="9">
        <f t="shared" ref="F3:F4" si="1">(G3+H3+I3+J3)</f>
        <v>-564</v>
      </c>
      <c r="G3" s="9">
        <f>(-179)</f>
        <v>-179</v>
      </c>
      <c r="H3" s="9">
        <v>-385</v>
      </c>
      <c r="I3" s="9"/>
      <c r="J3" s="63"/>
      <c r="K3" s="9"/>
      <c r="L3" s="9"/>
      <c r="M3" s="9"/>
      <c r="N3" s="9"/>
      <c r="O3" s="9"/>
      <c r="P3" s="9"/>
      <c r="Q3" s="9"/>
    </row>
    <row r="4" spans="1:17" x14ac:dyDescent="0.25">
      <c r="A4" s="19" t="s">
        <v>264</v>
      </c>
      <c r="B4" s="9" t="s">
        <v>14</v>
      </c>
      <c r="C4" s="9" t="s">
        <v>173</v>
      </c>
      <c r="D4" s="9">
        <v>700</v>
      </c>
      <c r="E4" s="9">
        <f t="shared" si="0"/>
        <v>0</v>
      </c>
      <c r="F4" s="9">
        <f t="shared" si="1"/>
        <v>-700</v>
      </c>
      <c r="G4" s="9">
        <f>(-26-78-34)</f>
        <v>-138</v>
      </c>
      <c r="H4" s="9">
        <f>(-11-14-15.5-29-9-14-44-20)</f>
        <v>-156.5</v>
      </c>
      <c r="I4" s="9">
        <f>(-98-35-38-19-12.44-14.86-22.15-9.39-150)</f>
        <v>-398.84000000000003</v>
      </c>
      <c r="J4" s="63">
        <f>(-6.66)</f>
        <v>-6.66</v>
      </c>
      <c r="K4" s="9"/>
      <c r="L4" s="9" t="s">
        <v>265</v>
      </c>
      <c r="M4" s="9" t="s">
        <v>266</v>
      </c>
      <c r="N4" s="9" t="s">
        <v>12</v>
      </c>
      <c r="O4" s="9"/>
      <c r="P4" s="9"/>
      <c r="Q4" s="9"/>
    </row>
    <row r="5" spans="1:17" x14ac:dyDescent="0.25">
      <c r="A5" s="19" t="s">
        <v>267</v>
      </c>
      <c r="B5" s="9" t="s">
        <v>263</v>
      </c>
      <c r="C5" s="9" t="s">
        <v>177</v>
      </c>
      <c r="D5" s="9">
        <v>3100</v>
      </c>
      <c r="E5" s="9">
        <f t="shared" ref="E5:E23" si="2">D5+F5</f>
        <v>0</v>
      </c>
      <c r="F5" s="9">
        <v>-3100</v>
      </c>
      <c r="G5" s="9"/>
      <c r="H5" s="9"/>
      <c r="I5" s="9"/>
      <c r="J5" s="63"/>
      <c r="K5" s="9"/>
      <c r="L5" s="9" t="s">
        <v>263</v>
      </c>
      <c r="M5" s="9">
        <f>(D3+D5+D8+D10+D14+D15+D16+D18+D21+D22+D23+D25+D26+D27+D31+D36+D19)</f>
        <v>7205</v>
      </c>
      <c r="N5" s="9">
        <f>(E3+E5+E8+E10+E14+E15+E16+E18+E19+E21+E22+E23+D36)</f>
        <v>686</v>
      </c>
      <c r="O5" s="9"/>
      <c r="P5" s="9"/>
      <c r="Q5" s="9"/>
    </row>
    <row r="6" spans="1:17" x14ac:dyDescent="0.25">
      <c r="A6" s="19" t="s">
        <v>264</v>
      </c>
      <c r="B6" s="9" t="s">
        <v>14</v>
      </c>
      <c r="C6" s="9" t="s">
        <v>268</v>
      </c>
      <c r="D6" s="9">
        <v>75</v>
      </c>
      <c r="E6" s="9">
        <f t="shared" si="2"/>
        <v>0</v>
      </c>
      <c r="F6" s="9">
        <v>-75</v>
      </c>
      <c r="G6" s="9"/>
      <c r="H6" s="9"/>
      <c r="I6" s="9"/>
      <c r="J6" s="63"/>
      <c r="K6" s="9"/>
      <c r="L6" s="9" t="s">
        <v>14</v>
      </c>
      <c r="M6" s="9">
        <f>(D4+D6+D7+D39+D9+D11+D12+D13+D17+D20+D29+D30+D32+D34+D35+D37+D38)</f>
        <v>4665</v>
      </c>
      <c r="N6" s="9">
        <f>(E4+E6+E7+E9+E11+E12+E13+E17+E20)</f>
        <v>113</v>
      </c>
      <c r="O6" s="9"/>
      <c r="P6" s="9"/>
      <c r="Q6" s="9"/>
    </row>
    <row r="7" spans="1:17" x14ac:dyDescent="0.25">
      <c r="A7" s="19" t="s">
        <v>264</v>
      </c>
      <c r="B7" s="9" t="s">
        <v>14</v>
      </c>
      <c r="C7" s="9" t="s">
        <v>73</v>
      </c>
      <c r="D7" s="9">
        <v>30</v>
      </c>
      <c r="E7" s="9">
        <f t="shared" si="2"/>
        <v>0</v>
      </c>
      <c r="F7" s="9">
        <v>-30</v>
      </c>
      <c r="G7" s="9"/>
      <c r="H7" s="9"/>
      <c r="I7" s="9"/>
      <c r="J7" s="63"/>
      <c r="K7" s="9"/>
      <c r="L7" s="9" t="s">
        <v>269</v>
      </c>
      <c r="M7" s="9">
        <f>M6+M5</f>
        <v>11870</v>
      </c>
      <c r="N7" s="9"/>
      <c r="O7" s="9"/>
      <c r="P7" s="9"/>
      <c r="Q7" s="9"/>
    </row>
    <row r="8" spans="1:17" x14ac:dyDescent="0.25">
      <c r="A8" s="19"/>
      <c r="B8" s="9" t="s">
        <v>263</v>
      </c>
      <c r="C8" s="9" t="s">
        <v>56</v>
      </c>
      <c r="D8" s="9">
        <v>130</v>
      </c>
      <c r="E8" s="9">
        <f t="shared" si="2"/>
        <v>0</v>
      </c>
      <c r="F8" s="9">
        <v>-130</v>
      </c>
      <c r="G8" s="9"/>
      <c r="H8" s="9"/>
      <c r="I8" s="9"/>
      <c r="J8" s="63"/>
      <c r="K8" s="9"/>
      <c r="L8" s="9"/>
      <c r="M8" s="9"/>
      <c r="N8" s="9"/>
      <c r="O8" s="9"/>
      <c r="P8" s="9"/>
      <c r="Q8" s="9"/>
    </row>
    <row r="9" spans="1:17" x14ac:dyDescent="0.25">
      <c r="A9" s="19" t="s">
        <v>264</v>
      </c>
      <c r="B9" s="9" t="s">
        <v>14</v>
      </c>
      <c r="C9" s="9" t="s">
        <v>24</v>
      </c>
      <c r="D9" s="9">
        <v>250</v>
      </c>
      <c r="E9" s="9">
        <f t="shared" si="2"/>
        <v>0</v>
      </c>
      <c r="F9" s="9">
        <v>-250</v>
      </c>
      <c r="G9" s="9"/>
      <c r="H9" s="9"/>
      <c r="I9" s="9"/>
      <c r="J9" s="63"/>
      <c r="K9" s="9"/>
      <c r="L9" s="9"/>
      <c r="M9" s="9"/>
      <c r="N9" s="9"/>
      <c r="O9" s="9"/>
      <c r="P9" s="9"/>
      <c r="Q9" s="9"/>
    </row>
    <row r="10" spans="1:17" x14ac:dyDescent="0.25">
      <c r="A10" s="19"/>
      <c r="B10" s="9" t="s">
        <v>263</v>
      </c>
      <c r="C10" s="9" t="s">
        <v>51</v>
      </c>
      <c r="D10" s="9">
        <v>953</v>
      </c>
      <c r="E10" s="9">
        <f t="shared" si="2"/>
        <v>0</v>
      </c>
      <c r="F10" s="9">
        <v>-953</v>
      </c>
      <c r="G10" s="9"/>
      <c r="H10" s="9"/>
      <c r="I10" s="9"/>
      <c r="J10" s="63"/>
      <c r="K10" s="9"/>
      <c r="L10" s="9"/>
      <c r="M10" s="9"/>
      <c r="N10" s="9"/>
      <c r="O10" s="9"/>
      <c r="P10" s="9"/>
      <c r="Q10" s="9"/>
    </row>
    <row r="11" spans="1:17" x14ac:dyDescent="0.25">
      <c r="A11" s="19" t="s">
        <v>181</v>
      </c>
      <c r="B11" s="9" t="s">
        <v>14</v>
      </c>
      <c r="C11" s="9" t="s">
        <v>359</v>
      </c>
      <c r="D11" s="9">
        <v>700</v>
      </c>
      <c r="E11" s="9">
        <f t="shared" si="2"/>
        <v>0</v>
      </c>
      <c r="F11" s="9">
        <v>-700</v>
      </c>
      <c r="G11" s="9"/>
      <c r="H11" s="9"/>
      <c r="I11" s="9"/>
      <c r="J11" s="63"/>
      <c r="K11" s="9"/>
    </row>
    <row r="12" spans="1:17" ht="13.5" customHeight="1" x14ac:dyDescent="0.25">
      <c r="A12" s="19" t="s">
        <v>264</v>
      </c>
      <c r="B12" s="9" t="s">
        <v>14</v>
      </c>
      <c r="C12" s="9" t="s">
        <v>178</v>
      </c>
      <c r="D12" s="9">
        <v>700</v>
      </c>
      <c r="E12" s="9">
        <f t="shared" si="2"/>
        <v>98</v>
      </c>
      <c r="F12" s="9">
        <f>(-321-103-178)</f>
        <v>-602</v>
      </c>
      <c r="G12" s="9"/>
      <c r="H12" s="9"/>
      <c r="I12" s="9"/>
      <c r="J12" s="63"/>
      <c r="K12" s="9"/>
    </row>
    <row r="13" spans="1:17" x14ac:dyDescent="0.25">
      <c r="A13" s="19" t="s">
        <v>264</v>
      </c>
      <c r="B13" s="9" t="s">
        <v>14</v>
      </c>
      <c r="C13" s="9" t="s">
        <v>183</v>
      </c>
      <c r="D13" s="9">
        <v>100</v>
      </c>
      <c r="E13" s="9">
        <f t="shared" si="2"/>
        <v>15</v>
      </c>
      <c r="F13" s="9">
        <f>(-50-35)</f>
        <v>-85</v>
      </c>
      <c r="G13" s="9"/>
      <c r="H13" s="9"/>
      <c r="I13" s="9"/>
      <c r="J13" s="63"/>
      <c r="K13" s="9"/>
    </row>
    <row r="14" spans="1:17" x14ac:dyDescent="0.25">
      <c r="A14" s="19"/>
      <c r="B14" s="9" t="s">
        <v>263</v>
      </c>
      <c r="C14" s="9" t="s">
        <v>52</v>
      </c>
      <c r="D14" s="9">
        <v>200</v>
      </c>
      <c r="E14" s="9">
        <f t="shared" si="2"/>
        <v>200</v>
      </c>
      <c r="F14" s="9"/>
      <c r="G14" s="9"/>
      <c r="H14" s="9"/>
      <c r="I14" s="9"/>
      <c r="J14" s="63"/>
      <c r="K14" s="9"/>
    </row>
    <row r="15" spans="1:17" x14ac:dyDescent="0.25">
      <c r="A15" s="19"/>
      <c r="B15" s="9" t="s">
        <v>263</v>
      </c>
      <c r="C15" s="9" t="s">
        <v>54</v>
      </c>
      <c r="D15" s="9">
        <v>100</v>
      </c>
      <c r="E15" s="9">
        <f t="shared" si="2"/>
        <v>100</v>
      </c>
      <c r="F15" s="9"/>
      <c r="G15" s="9"/>
      <c r="H15" s="9"/>
      <c r="I15" s="9"/>
      <c r="J15" s="63"/>
      <c r="K15" s="9"/>
      <c r="L15" s="9"/>
      <c r="M15" s="9"/>
      <c r="N15" s="9"/>
      <c r="O15" s="9"/>
      <c r="P15" s="9"/>
      <c r="Q15" s="9"/>
    </row>
    <row r="16" spans="1:17" x14ac:dyDescent="0.25">
      <c r="A16" s="19"/>
      <c r="B16" s="9" t="s">
        <v>263</v>
      </c>
      <c r="C16" s="9" t="s">
        <v>270</v>
      </c>
      <c r="D16" s="9">
        <v>50</v>
      </c>
      <c r="E16" s="9">
        <f t="shared" si="2"/>
        <v>50</v>
      </c>
      <c r="F16" s="9"/>
      <c r="G16" s="9"/>
      <c r="H16" s="9"/>
      <c r="I16" s="9"/>
      <c r="J16" s="63"/>
      <c r="K16" s="9"/>
      <c r="L16" s="9" t="s">
        <v>271</v>
      </c>
      <c r="M16" s="9" t="s">
        <v>272</v>
      </c>
      <c r="N16" s="9" t="s">
        <v>273</v>
      </c>
      <c r="O16" s="9" t="s">
        <v>274</v>
      </c>
      <c r="P16" s="9" t="s">
        <v>275</v>
      </c>
      <c r="Q16" s="9"/>
    </row>
    <row r="17" spans="1:17" x14ac:dyDescent="0.25">
      <c r="A17" s="19" t="s">
        <v>181</v>
      </c>
      <c r="B17" s="9" t="s">
        <v>14</v>
      </c>
      <c r="C17" s="9" t="s">
        <v>208</v>
      </c>
      <c r="D17" s="9">
        <v>400</v>
      </c>
      <c r="E17" s="9">
        <f t="shared" si="2"/>
        <v>0</v>
      </c>
      <c r="F17" s="9">
        <v>-400</v>
      </c>
      <c r="G17" s="9"/>
      <c r="H17" s="9"/>
      <c r="I17" s="9"/>
      <c r="J17" s="63"/>
      <c r="K17" s="9"/>
      <c r="L17" s="9" t="s">
        <v>181</v>
      </c>
      <c r="M17" s="9"/>
      <c r="N17" s="9"/>
      <c r="O17" s="9"/>
      <c r="P17" s="9"/>
      <c r="Q17" s="9"/>
    </row>
    <row r="18" spans="1:17" x14ac:dyDescent="0.25">
      <c r="A18" s="19"/>
      <c r="B18" s="9" t="s">
        <v>263</v>
      </c>
      <c r="C18" s="9" t="s">
        <v>208</v>
      </c>
      <c r="D18" s="9">
        <v>400</v>
      </c>
      <c r="E18" s="9">
        <f t="shared" si="2"/>
        <v>0</v>
      </c>
      <c r="F18" s="9">
        <v>-400</v>
      </c>
      <c r="G18" s="9"/>
      <c r="H18" s="9"/>
      <c r="I18" s="9"/>
      <c r="J18" s="63"/>
      <c r="K18" s="9"/>
      <c r="L18" s="9" t="s">
        <v>264</v>
      </c>
      <c r="M18" s="9"/>
      <c r="N18" s="9"/>
      <c r="O18" s="9"/>
      <c r="P18" s="9"/>
      <c r="Q18" s="9"/>
    </row>
    <row r="19" spans="1:17" x14ac:dyDescent="0.25">
      <c r="A19" s="19"/>
      <c r="B19" s="9" t="s">
        <v>263</v>
      </c>
      <c r="C19" s="9" t="s">
        <v>243</v>
      </c>
      <c r="D19" s="9">
        <v>230</v>
      </c>
      <c r="E19" s="9">
        <f t="shared" si="2"/>
        <v>0</v>
      </c>
      <c r="F19" s="9">
        <v>-230</v>
      </c>
      <c r="G19" s="9"/>
      <c r="H19" s="9"/>
      <c r="I19" s="9"/>
      <c r="J19" s="63"/>
      <c r="K19" s="9"/>
      <c r="L19" s="9" t="s">
        <v>267</v>
      </c>
      <c r="M19" s="9"/>
      <c r="N19" s="9"/>
      <c r="O19" s="9"/>
      <c r="P19" s="9"/>
      <c r="Q19" s="9"/>
    </row>
    <row r="20" spans="1:17" ht="15.75" customHeight="1" x14ac:dyDescent="0.25">
      <c r="A20" s="19" t="s">
        <v>181</v>
      </c>
      <c r="B20" s="9" t="s">
        <v>14</v>
      </c>
      <c r="C20" s="9" t="s">
        <v>181</v>
      </c>
      <c r="D20" s="9">
        <v>50</v>
      </c>
      <c r="E20" s="9">
        <f t="shared" si="2"/>
        <v>0</v>
      </c>
      <c r="F20" s="9">
        <v>-50</v>
      </c>
      <c r="G20" s="9"/>
      <c r="H20" s="9"/>
      <c r="I20" s="9"/>
      <c r="J20" s="63"/>
      <c r="K20" s="9"/>
      <c r="L20" s="9" t="s">
        <v>276</v>
      </c>
      <c r="M20" s="9"/>
      <c r="N20" s="9"/>
      <c r="O20" s="9"/>
      <c r="P20" s="9"/>
      <c r="Q20" s="9"/>
    </row>
    <row r="21" spans="1:17" ht="15.75" customHeight="1" x14ac:dyDescent="0.25">
      <c r="A21" s="19"/>
      <c r="B21" s="9" t="s">
        <v>263</v>
      </c>
      <c r="C21" s="9" t="s">
        <v>179</v>
      </c>
      <c r="D21" s="9">
        <v>128</v>
      </c>
      <c r="E21" s="9">
        <f t="shared" si="2"/>
        <v>0</v>
      </c>
      <c r="F21" s="9">
        <v>-128</v>
      </c>
      <c r="G21" s="9"/>
      <c r="H21" s="9"/>
      <c r="I21" s="9"/>
      <c r="J21" s="63"/>
      <c r="K21" s="9"/>
      <c r="L21" s="9" t="s">
        <v>277</v>
      </c>
      <c r="M21" s="9"/>
      <c r="N21" s="9"/>
      <c r="O21" s="9"/>
      <c r="P21" s="9"/>
      <c r="Q21" s="9"/>
    </row>
    <row r="22" spans="1:17" ht="15.75" customHeight="1" x14ac:dyDescent="0.25">
      <c r="A22" s="19"/>
      <c r="B22" s="9" t="s">
        <v>263</v>
      </c>
      <c r="C22" s="9" t="s">
        <v>182</v>
      </c>
      <c r="D22" s="9">
        <v>44</v>
      </c>
      <c r="E22" s="9">
        <f t="shared" si="2"/>
        <v>0</v>
      </c>
      <c r="F22" s="9">
        <v>-44</v>
      </c>
      <c r="G22" s="9"/>
      <c r="H22" s="9"/>
      <c r="I22" s="9"/>
      <c r="J22" s="63"/>
      <c r="K22" s="9"/>
      <c r="L22" s="9"/>
      <c r="M22" s="9"/>
      <c r="N22" s="9"/>
      <c r="O22" s="9"/>
      <c r="P22" s="9"/>
      <c r="Q22" s="9"/>
    </row>
    <row r="23" spans="1:17" ht="15.75" customHeight="1" x14ac:dyDescent="0.25">
      <c r="A23" s="19"/>
      <c r="B23" s="9" t="s">
        <v>263</v>
      </c>
      <c r="C23" s="9" t="s">
        <v>278</v>
      </c>
      <c r="D23" s="9">
        <v>100</v>
      </c>
      <c r="E23" s="9">
        <f t="shared" si="2"/>
        <v>0</v>
      </c>
      <c r="F23" s="9">
        <v>-100</v>
      </c>
      <c r="G23" s="9"/>
      <c r="H23" s="64"/>
      <c r="I23" s="64"/>
      <c r="J23" s="65"/>
      <c r="K23" s="9"/>
      <c r="L23" s="9"/>
      <c r="M23" s="9"/>
      <c r="N23" s="9"/>
      <c r="O23" s="9"/>
      <c r="P23" s="9"/>
      <c r="Q23" s="9"/>
    </row>
    <row r="24" spans="1:17" ht="15.75" customHeight="1" x14ac:dyDescent="0.25">
      <c r="A24" s="66" t="s">
        <v>187</v>
      </c>
      <c r="B24" s="67"/>
      <c r="C24" s="67"/>
      <c r="D24" s="67" t="s">
        <v>255</v>
      </c>
      <c r="E24" s="67" t="s">
        <v>363</v>
      </c>
      <c r="F24" s="67" t="s">
        <v>364</v>
      </c>
      <c r="G24" s="69" t="s">
        <v>365</v>
      </c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ht="15.75" customHeight="1" x14ac:dyDescent="0.25">
      <c r="A25" s="70"/>
      <c r="B25" s="9" t="s">
        <v>263</v>
      </c>
      <c r="C25" s="9" t="s">
        <v>189</v>
      </c>
      <c r="D25" s="9">
        <v>100</v>
      </c>
      <c r="E25" s="9">
        <v>100</v>
      </c>
      <c r="F25" s="9"/>
      <c r="G25" s="71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.75" customHeight="1" x14ac:dyDescent="0.25">
      <c r="A26" s="19"/>
      <c r="B26" s="9" t="s">
        <v>263</v>
      </c>
      <c r="C26" s="9" t="s">
        <v>186</v>
      </c>
      <c r="D26" s="9">
        <v>100</v>
      </c>
      <c r="E26" s="9">
        <v>300</v>
      </c>
      <c r="F26" s="9"/>
      <c r="G26" s="71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5.75" customHeight="1" x14ac:dyDescent="0.25">
      <c r="A27" s="70"/>
      <c r="B27" s="9" t="s">
        <v>263</v>
      </c>
      <c r="C27" s="9" t="s">
        <v>192</v>
      </c>
      <c r="D27" s="9">
        <v>300</v>
      </c>
      <c r="E27" s="9">
        <v>270</v>
      </c>
      <c r="F27" s="9"/>
      <c r="G27" s="71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5.75" customHeight="1" x14ac:dyDescent="0.25">
      <c r="A28" s="70"/>
      <c r="B28" s="9" t="s">
        <v>263</v>
      </c>
      <c r="C28" s="9" t="s">
        <v>280</v>
      </c>
      <c r="D28" s="9" t="s">
        <v>281</v>
      </c>
      <c r="E28" s="9">
        <v>300</v>
      </c>
      <c r="F28" s="9"/>
      <c r="G28" s="71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5.75" customHeight="1" x14ac:dyDescent="0.25">
      <c r="A29" s="70" t="s">
        <v>276</v>
      </c>
      <c r="B29" s="9" t="s">
        <v>14</v>
      </c>
      <c r="C29" s="9" t="s">
        <v>361</v>
      </c>
      <c r="D29" s="9">
        <v>100</v>
      </c>
      <c r="E29" s="9">
        <v>200</v>
      </c>
      <c r="F29" s="89">
        <v>45597</v>
      </c>
      <c r="G29" s="71">
        <v>300</v>
      </c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25">
      <c r="A30" s="70" t="s">
        <v>276</v>
      </c>
      <c r="B30" s="9" t="s">
        <v>14</v>
      </c>
      <c r="C30" s="9" t="s">
        <v>247</v>
      </c>
      <c r="D30" s="9">
        <v>700</v>
      </c>
      <c r="E30" s="9">
        <v>7598</v>
      </c>
      <c r="F30" s="89">
        <v>45597</v>
      </c>
      <c r="G30" s="71">
        <v>8398</v>
      </c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5.75" customHeight="1" x14ac:dyDescent="0.25">
      <c r="A31" s="70"/>
      <c r="B31" s="9" t="s">
        <v>263</v>
      </c>
      <c r="C31" s="9" t="s">
        <v>61</v>
      </c>
      <c r="D31" s="9">
        <v>370</v>
      </c>
      <c r="E31" s="9"/>
      <c r="F31" s="9"/>
      <c r="G31" s="71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ht="15.75" customHeight="1" x14ac:dyDescent="0.25">
      <c r="A32" s="72" t="s">
        <v>267</v>
      </c>
      <c r="B32" s="73" t="s">
        <v>14</v>
      </c>
      <c r="C32" s="73" t="s">
        <v>282</v>
      </c>
      <c r="D32" s="73">
        <v>200</v>
      </c>
      <c r="E32" s="73">
        <v>135</v>
      </c>
      <c r="F32" s="90">
        <v>45597</v>
      </c>
      <c r="G32" s="74">
        <v>335</v>
      </c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5.75" customHeight="1" x14ac:dyDescent="0.25">
      <c r="A33" s="87" t="s">
        <v>283</v>
      </c>
      <c r="B33" s="88"/>
      <c r="C33" s="88"/>
      <c r="D33" s="77" t="s">
        <v>255</v>
      </c>
      <c r="E33" s="88" t="s">
        <v>256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5.75" hidden="1" customHeight="1" x14ac:dyDescent="0.25">
      <c r="A34" s="3" t="s">
        <v>284</v>
      </c>
      <c r="B34" s="3" t="s">
        <v>14</v>
      </c>
      <c r="C34" s="3" t="s">
        <v>285</v>
      </c>
      <c r="D34" s="3" t="s">
        <v>286</v>
      </c>
      <c r="E34" s="3" t="s">
        <v>287</v>
      </c>
    </row>
    <row r="35" spans="1:17" ht="15.75" customHeight="1" x14ac:dyDescent="0.25">
      <c r="A35" s="12" t="s">
        <v>181</v>
      </c>
      <c r="B35" s="12" t="s">
        <v>14</v>
      </c>
      <c r="C35" s="12" t="s">
        <v>370</v>
      </c>
      <c r="D35" s="12">
        <v>60</v>
      </c>
      <c r="E35" s="12">
        <v>60</v>
      </c>
    </row>
    <row r="36" spans="1:17" ht="15.75" customHeight="1" x14ac:dyDescent="0.25">
      <c r="A36" s="12"/>
      <c r="B36" s="12" t="s">
        <v>263</v>
      </c>
      <c r="C36" s="12" t="s">
        <v>371</v>
      </c>
      <c r="D36" s="12">
        <v>200</v>
      </c>
      <c r="E36" s="12"/>
    </row>
    <row r="37" spans="1:17" ht="15.75" customHeight="1" x14ac:dyDescent="0.25">
      <c r="A37" s="12" t="s">
        <v>181</v>
      </c>
      <c r="B37" s="12" t="s">
        <v>14</v>
      </c>
      <c r="C37" s="12" t="s">
        <v>109</v>
      </c>
      <c r="D37" s="12">
        <v>100</v>
      </c>
      <c r="E37" s="12">
        <v>100</v>
      </c>
    </row>
    <row r="38" spans="1:17" ht="15.75" customHeight="1" x14ac:dyDescent="0.25">
      <c r="A38" s="12" t="s">
        <v>181</v>
      </c>
      <c r="B38" s="12" t="s">
        <v>14</v>
      </c>
      <c r="C38" s="12" t="s">
        <v>372</v>
      </c>
      <c r="D38" s="12">
        <v>100</v>
      </c>
      <c r="E38" s="12"/>
    </row>
    <row r="39" spans="1:17" ht="15.75" customHeight="1" x14ac:dyDescent="0.25">
      <c r="A39" s="12" t="s">
        <v>373</v>
      </c>
      <c r="B39" s="12" t="s">
        <v>291</v>
      </c>
      <c r="C39" s="12" t="s">
        <v>167</v>
      </c>
      <c r="D39" s="12">
        <v>200</v>
      </c>
      <c r="E39" s="12">
        <v>200</v>
      </c>
    </row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1003"/>
  <sheetViews>
    <sheetView workbookViewId="0"/>
  </sheetViews>
  <sheetFormatPr defaultColWidth="14.42578125" defaultRowHeight="15" customHeight="1" x14ac:dyDescent="0.25"/>
  <cols>
    <col min="1" max="2" width="11.42578125" customWidth="1"/>
    <col min="3" max="3" width="12.28515625" customWidth="1"/>
    <col min="4" max="4" width="10" customWidth="1"/>
    <col min="5" max="5" width="12.42578125" customWidth="1"/>
    <col min="6" max="6" width="11" customWidth="1"/>
    <col min="7" max="11" width="8.7109375" customWidth="1"/>
    <col min="12" max="12" width="9.42578125" customWidth="1"/>
    <col min="13" max="13" width="11.140625" customWidth="1"/>
    <col min="14" max="14" width="9.28515625" customWidth="1"/>
    <col min="15" max="31" width="8.7109375" customWidth="1"/>
  </cols>
  <sheetData>
    <row r="1" spans="1:17" x14ac:dyDescent="0.25">
      <c r="A1" s="1" t="s">
        <v>171</v>
      </c>
      <c r="B1" s="1" t="s">
        <v>254</v>
      </c>
      <c r="C1" s="1" t="s">
        <v>10</v>
      </c>
      <c r="D1" s="1" t="s">
        <v>255</v>
      </c>
      <c r="E1" s="1" t="s">
        <v>175</v>
      </c>
      <c r="F1" s="1" t="s">
        <v>256</v>
      </c>
      <c r="G1" s="1" t="s">
        <v>257</v>
      </c>
      <c r="H1" s="1" t="s">
        <v>258</v>
      </c>
      <c r="I1" s="1" t="s">
        <v>259</v>
      </c>
      <c r="J1" s="1" t="s">
        <v>260</v>
      </c>
    </row>
    <row r="2" spans="1:17" x14ac:dyDescent="0.25">
      <c r="A2" s="59"/>
      <c r="B2" s="60"/>
      <c r="C2" s="91"/>
      <c r="D2" s="91" t="s">
        <v>261</v>
      </c>
      <c r="E2" s="91" t="s">
        <v>262</v>
      </c>
      <c r="F2" s="91"/>
      <c r="G2" s="91"/>
      <c r="H2" s="91"/>
      <c r="I2" s="91"/>
      <c r="J2" s="92"/>
      <c r="K2" s="9"/>
      <c r="L2" s="9"/>
      <c r="M2" s="9"/>
      <c r="N2" s="9"/>
      <c r="O2" s="9"/>
      <c r="P2" s="9"/>
      <c r="Q2" s="9"/>
    </row>
    <row r="3" spans="1:17" x14ac:dyDescent="0.25">
      <c r="A3" s="19"/>
      <c r="B3" s="9" t="s">
        <v>263</v>
      </c>
      <c r="C3" s="9" t="s">
        <v>173</v>
      </c>
      <c r="D3" s="9">
        <v>600</v>
      </c>
      <c r="E3" s="9">
        <f t="shared" ref="E3:E24" si="0">D3+F3</f>
        <v>170.70999999999998</v>
      </c>
      <c r="F3" s="9">
        <f t="shared" ref="F3:F4" si="1">(G3+H3+I3+J3)</f>
        <v>-429.29</v>
      </c>
      <c r="G3" s="9">
        <f>(-7)-20-2.68-122.84-99.65+12</f>
        <v>-240.17000000000002</v>
      </c>
      <c r="H3" s="9">
        <v>-129</v>
      </c>
      <c r="I3" s="9">
        <v>-60.12</v>
      </c>
      <c r="J3" s="63">
        <v>0</v>
      </c>
      <c r="K3" s="9"/>
      <c r="L3" s="9"/>
      <c r="M3" s="9"/>
      <c r="N3" s="9"/>
      <c r="O3" s="9"/>
      <c r="P3" s="9"/>
      <c r="Q3" s="9"/>
    </row>
    <row r="4" spans="1:17" x14ac:dyDescent="0.25">
      <c r="A4" s="19" t="s">
        <v>264</v>
      </c>
      <c r="B4" s="9" t="s">
        <v>14</v>
      </c>
      <c r="C4" s="9" t="s">
        <v>173</v>
      </c>
      <c r="D4" s="9">
        <v>600</v>
      </c>
      <c r="E4" s="9">
        <f t="shared" si="0"/>
        <v>31.829999999999927</v>
      </c>
      <c r="F4" s="9">
        <f t="shared" si="1"/>
        <v>-568.17000000000007</v>
      </c>
      <c r="G4" s="9">
        <f>(-18-9.2-26.85-12.51-25.51)</f>
        <v>-92.070000000000007</v>
      </c>
      <c r="H4" s="9">
        <f>(-20.46-28.63-66.88-75.25-8.38)</f>
        <v>-199.6</v>
      </c>
      <c r="I4" s="9">
        <f>(-23.4-38.86)</f>
        <v>-62.26</v>
      </c>
      <c r="J4" s="63">
        <f>(-114-92-8.24)</f>
        <v>-214.24</v>
      </c>
      <c r="K4" s="9"/>
      <c r="L4" s="9" t="s">
        <v>265</v>
      </c>
      <c r="M4" s="9" t="s">
        <v>266</v>
      </c>
      <c r="N4" s="9" t="s">
        <v>12</v>
      </c>
      <c r="O4" s="9"/>
      <c r="P4" s="9"/>
      <c r="Q4" s="9"/>
    </row>
    <row r="5" spans="1:17" x14ac:dyDescent="0.25">
      <c r="A5" s="19" t="s">
        <v>267</v>
      </c>
      <c r="B5" s="9" t="s">
        <v>14</v>
      </c>
      <c r="C5" s="9" t="s">
        <v>177</v>
      </c>
      <c r="D5" s="9">
        <v>3310</v>
      </c>
      <c r="E5" s="9">
        <f t="shared" si="0"/>
        <v>0</v>
      </c>
      <c r="F5" s="9">
        <f>(-2769-541)</f>
        <v>-3310</v>
      </c>
      <c r="G5" s="9"/>
      <c r="H5" s="9"/>
      <c r="I5" s="9"/>
      <c r="J5" s="63"/>
      <c r="K5" s="9"/>
      <c r="L5" s="9" t="s">
        <v>263</v>
      </c>
      <c r="M5" s="9">
        <f>(D3+D8+D10+D28+D29+D15+D16+D17+D27+D30+D20+D22+D23+D24+D26+D11+D19+D33)</f>
        <v>4255</v>
      </c>
      <c r="N5" s="9">
        <f>(M5+F3+F8+F10+F15+F16+F17+F20+F22+F23+F24+F19+F11)</f>
        <v>1751.71</v>
      </c>
      <c r="O5" s="9"/>
      <c r="P5" s="9"/>
      <c r="Q5" s="9"/>
    </row>
    <row r="6" spans="1:17" x14ac:dyDescent="0.25">
      <c r="A6" s="19" t="s">
        <v>264</v>
      </c>
      <c r="B6" s="9" t="s">
        <v>14</v>
      </c>
      <c r="C6" s="9" t="s">
        <v>268</v>
      </c>
      <c r="D6" s="9">
        <v>75</v>
      </c>
      <c r="E6" s="9">
        <f t="shared" si="0"/>
        <v>0</v>
      </c>
      <c r="F6" s="9">
        <v>-75</v>
      </c>
      <c r="G6" s="9"/>
      <c r="H6" s="9"/>
      <c r="I6" s="9"/>
      <c r="J6" s="63"/>
      <c r="K6" s="9"/>
      <c r="L6" s="9" t="s">
        <v>14</v>
      </c>
      <c r="M6" s="9">
        <f>(D4+D5+D6+D7+D9+D13+D14+D31+D34+D21+D12+D18+D32)</f>
        <v>7255</v>
      </c>
      <c r="N6" s="9">
        <f>(E4+E5+E6+E7+E9+E12+E13+E14+E18+E21)</f>
        <v>74.829999999999927</v>
      </c>
      <c r="O6" s="9"/>
      <c r="P6" s="9"/>
      <c r="Q6" s="9"/>
    </row>
    <row r="7" spans="1:17" x14ac:dyDescent="0.25">
      <c r="A7" s="19" t="s">
        <v>264</v>
      </c>
      <c r="B7" s="9" t="s">
        <v>14</v>
      </c>
      <c r="C7" s="9" t="s">
        <v>73</v>
      </c>
      <c r="D7" s="9">
        <v>30</v>
      </c>
      <c r="E7" s="9">
        <f t="shared" si="0"/>
        <v>0</v>
      </c>
      <c r="F7" s="9">
        <v>-30</v>
      </c>
      <c r="G7" s="9"/>
      <c r="H7" s="9"/>
      <c r="I7" s="9"/>
      <c r="J7" s="63"/>
      <c r="K7" s="9"/>
      <c r="L7" s="9" t="s">
        <v>269</v>
      </c>
      <c r="M7" s="9">
        <f t="shared" ref="M7:N7" si="2">M6+M5</f>
        <v>11510</v>
      </c>
      <c r="N7" s="9">
        <f t="shared" si="2"/>
        <v>1826.54</v>
      </c>
      <c r="O7" s="9"/>
      <c r="P7" s="9"/>
      <c r="Q7" s="9"/>
    </row>
    <row r="8" spans="1:17" x14ac:dyDescent="0.25">
      <c r="A8" s="19"/>
      <c r="B8" s="9" t="s">
        <v>263</v>
      </c>
      <c r="C8" s="9" t="s">
        <v>56</v>
      </c>
      <c r="D8" s="9">
        <v>130</v>
      </c>
      <c r="E8" s="9">
        <f t="shared" si="0"/>
        <v>130</v>
      </c>
      <c r="F8" s="9"/>
      <c r="G8" s="9"/>
      <c r="H8" s="9"/>
      <c r="I8" s="9"/>
      <c r="J8" s="63"/>
      <c r="K8" s="9"/>
      <c r="L8" s="9"/>
      <c r="M8" s="9"/>
      <c r="N8" s="9"/>
      <c r="O8" s="9"/>
      <c r="P8" s="9"/>
      <c r="Q8" s="9"/>
    </row>
    <row r="9" spans="1:17" x14ac:dyDescent="0.25">
      <c r="A9" s="19" t="s">
        <v>264</v>
      </c>
      <c r="B9" s="9" t="s">
        <v>14</v>
      </c>
      <c r="C9" s="9" t="s">
        <v>24</v>
      </c>
      <c r="D9" s="9">
        <v>290</v>
      </c>
      <c r="E9" s="9">
        <f t="shared" si="0"/>
        <v>0</v>
      </c>
      <c r="F9" s="9">
        <f>(-290)</f>
        <v>-290</v>
      </c>
      <c r="G9" s="9"/>
      <c r="H9" s="9"/>
      <c r="I9" s="9"/>
      <c r="J9" s="63"/>
      <c r="K9" s="9"/>
      <c r="L9" s="9"/>
      <c r="M9" s="9"/>
      <c r="N9" s="9"/>
      <c r="O9" s="9"/>
      <c r="P9" s="9"/>
      <c r="Q9" s="9"/>
    </row>
    <row r="10" spans="1:17" x14ac:dyDescent="0.25">
      <c r="A10" s="19"/>
      <c r="B10" s="9" t="s">
        <v>263</v>
      </c>
      <c r="C10" s="9" t="s">
        <v>51</v>
      </c>
      <c r="D10" s="9">
        <v>932</v>
      </c>
      <c r="E10" s="9">
        <f t="shared" si="0"/>
        <v>0</v>
      </c>
      <c r="F10" s="9">
        <v>-932</v>
      </c>
      <c r="G10" s="9"/>
      <c r="H10" s="9"/>
      <c r="I10" s="9"/>
      <c r="J10" s="63"/>
      <c r="K10" s="9"/>
      <c r="L10" s="9"/>
      <c r="M10" s="9"/>
      <c r="N10" s="9"/>
      <c r="O10" s="9"/>
      <c r="P10" s="9"/>
      <c r="Q10" s="9"/>
    </row>
    <row r="11" spans="1:17" x14ac:dyDescent="0.25">
      <c r="A11" s="19"/>
      <c r="B11" s="9" t="s">
        <v>263</v>
      </c>
      <c r="C11" s="9" t="s">
        <v>51</v>
      </c>
      <c r="D11" s="9">
        <v>25</v>
      </c>
      <c r="E11" s="9">
        <f t="shared" si="0"/>
        <v>0</v>
      </c>
      <c r="F11" s="9">
        <v>-25</v>
      </c>
      <c r="G11" s="9"/>
      <c r="H11" s="9"/>
      <c r="I11" s="9"/>
      <c r="J11" s="63"/>
      <c r="K11" s="9"/>
      <c r="L11" s="9" t="s">
        <v>271</v>
      </c>
      <c r="M11" s="9" t="s">
        <v>272</v>
      </c>
      <c r="N11" s="9" t="s">
        <v>273</v>
      </c>
      <c r="O11" s="9" t="s">
        <v>274</v>
      </c>
      <c r="P11" s="9" t="s">
        <v>275</v>
      </c>
      <c r="Q11" s="9"/>
    </row>
    <row r="12" spans="1:17" x14ac:dyDescent="0.25">
      <c r="A12" s="19" t="s">
        <v>181</v>
      </c>
      <c r="B12" s="9" t="s">
        <v>14</v>
      </c>
      <c r="C12" s="9" t="s">
        <v>359</v>
      </c>
      <c r="D12" s="9">
        <v>600</v>
      </c>
      <c r="E12" s="9">
        <f t="shared" si="0"/>
        <v>0</v>
      </c>
      <c r="F12" s="9">
        <v>-600</v>
      </c>
      <c r="G12" s="9"/>
      <c r="H12" s="9"/>
      <c r="I12" s="9"/>
      <c r="J12" s="63"/>
      <c r="K12" s="9"/>
      <c r="L12" s="9" t="s">
        <v>181</v>
      </c>
      <c r="M12" s="9"/>
      <c r="N12" s="9"/>
      <c r="O12" s="9"/>
      <c r="P12" s="9"/>
      <c r="Q12" s="9"/>
    </row>
    <row r="13" spans="1:17" ht="13.5" customHeight="1" x14ac:dyDescent="0.25">
      <c r="A13" s="19" t="s">
        <v>264</v>
      </c>
      <c r="B13" s="9" t="s">
        <v>14</v>
      </c>
      <c r="C13" s="9" t="s">
        <v>178</v>
      </c>
      <c r="D13" s="9">
        <v>900</v>
      </c>
      <c r="E13" s="9">
        <f t="shared" si="0"/>
        <v>33</v>
      </c>
      <c r="F13" s="9">
        <f>(-267-190-300-110)</f>
        <v>-867</v>
      </c>
      <c r="G13" s="9"/>
      <c r="H13" s="9"/>
      <c r="I13" s="9"/>
      <c r="J13" s="63"/>
      <c r="K13" s="9"/>
      <c r="L13" s="9" t="s">
        <v>264</v>
      </c>
      <c r="M13" s="9"/>
      <c r="N13" s="9"/>
      <c r="O13" s="9"/>
      <c r="P13" s="9"/>
      <c r="Q13" s="9"/>
    </row>
    <row r="14" spans="1:17" x14ac:dyDescent="0.25">
      <c r="A14" s="19" t="s">
        <v>181</v>
      </c>
      <c r="B14" s="9" t="s">
        <v>14</v>
      </c>
      <c r="C14" s="9" t="s">
        <v>183</v>
      </c>
      <c r="D14" s="9">
        <v>100</v>
      </c>
      <c r="E14" s="9">
        <f t="shared" si="0"/>
        <v>10</v>
      </c>
      <c r="F14" s="9">
        <v>-90</v>
      </c>
      <c r="G14" s="9"/>
      <c r="H14" s="9"/>
      <c r="I14" s="9"/>
      <c r="J14" s="63"/>
      <c r="K14" s="9"/>
      <c r="L14" s="9" t="s">
        <v>267</v>
      </c>
      <c r="M14" s="9"/>
      <c r="N14" s="9"/>
      <c r="O14" s="9"/>
      <c r="P14" s="9"/>
      <c r="Q14" s="9"/>
    </row>
    <row r="15" spans="1:17" x14ac:dyDescent="0.25">
      <c r="A15" s="19"/>
      <c r="B15" s="9" t="s">
        <v>263</v>
      </c>
      <c r="C15" s="9" t="s">
        <v>52</v>
      </c>
      <c r="D15" s="9">
        <v>200</v>
      </c>
      <c r="E15" s="9">
        <f t="shared" si="0"/>
        <v>97</v>
      </c>
      <c r="F15" s="9">
        <v>-103</v>
      </c>
      <c r="G15" s="9"/>
      <c r="H15" s="9"/>
      <c r="I15" s="9"/>
      <c r="J15" s="63"/>
      <c r="K15" s="9"/>
      <c r="L15" s="9" t="s">
        <v>276</v>
      </c>
      <c r="M15" s="9"/>
      <c r="N15" s="9"/>
      <c r="O15" s="9"/>
      <c r="P15" s="9"/>
      <c r="Q15" s="9"/>
    </row>
    <row r="16" spans="1:17" x14ac:dyDescent="0.25">
      <c r="A16" s="19"/>
      <c r="B16" s="9" t="s">
        <v>263</v>
      </c>
      <c r="C16" s="9" t="s">
        <v>54</v>
      </c>
      <c r="D16" s="9">
        <v>100</v>
      </c>
      <c r="E16" s="9">
        <f t="shared" si="0"/>
        <v>54</v>
      </c>
      <c r="F16" s="9">
        <v>-46</v>
      </c>
      <c r="G16" s="9"/>
      <c r="H16" s="9"/>
      <c r="I16" s="9"/>
      <c r="J16" s="63"/>
      <c r="K16" s="9"/>
      <c r="L16" s="9"/>
      <c r="M16" s="9"/>
      <c r="N16" s="9"/>
      <c r="O16" s="9"/>
      <c r="P16" s="9"/>
      <c r="Q16" s="9"/>
    </row>
    <row r="17" spans="1:17" x14ac:dyDescent="0.25">
      <c r="A17" s="19"/>
      <c r="B17" s="9" t="s">
        <v>263</v>
      </c>
      <c r="C17" s="9" t="s">
        <v>270</v>
      </c>
      <c r="D17" s="9">
        <v>100</v>
      </c>
      <c r="E17" s="9">
        <f t="shared" si="0"/>
        <v>100</v>
      </c>
      <c r="F17" s="9"/>
      <c r="G17" s="9"/>
      <c r="H17" s="9"/>
      <c r="I17" s="9"/>
      <c r="J17" s="63"/>
      <c r="K17" s="9"/>
      <c r="L17" s="9"/>
      <c r="M17" s="9"/>
      <c r="N17" s="9"/>
      <c r="O17" s="9"/>
      <c r="P17" s="9"/>
      <c r="Q17" s="9"/>
    </row>
    <row r="18" spans="1:17" x14ac:dyDescent="0.25">
      <c r="A18" s="19" t="s">
        <v>181</v>
      </c>
      <c r="B18" s="9" t="s">
        <v>14</v>
      </c>
      <c r="C18" s="9" t="s">
        <v>208</v>
      </c>
      <c r="D18" s="9">
        <v>400</v>
      </c>
      <c r="E18" s="9">
        <f t="shared" si="0"/>
        <v>0</v>
      </c>
      <c r="F18" s="9">
        <f>(-50-350)</f>
        <v>-400</v>
      </c>
      <c r="G18" s="9"/>
      <c r="H18" s="9"/>
      <c r="I18" s="9"/>
      <c r="J18" s="63"/>
      <c r="K18" s="9"/>
      <c r="L18" s="9"/>
      <c r="M18" s="9"/>
      <c r="N18" s="9"/>
      <c r="O18" s="9"/>
      <c r="P18" s="9"/>
      <c r="Q18" s="9"/>
    </row>
    <row r="19" spans="1:17" x14ac:dyDescent="0.25">
      <c r="A19" s="19"/>
      <c r="B19" s="9" t="s">
        <v>263</v>
      </c>
      <c r="C19" s="9" t="s">
        <v>208</v>
      </c>
      <c r="D19" s="9">
        <v>400</v>
      </c>
      <c r="E19" s="9">
        <f t="shared" si="0"/>
        <v>0</v>
      </c>
      <c r="F19" s="9">
        <v>-400</v>
      </c>
      <c r="G19" s="9"/>
      <c r="H19" s="9"/>
      <c r="I19" s="9"/>
      <c r="J19" s="63"/>
      <c r="K19" s="9"/>
      <c r="L19" s="9"/>
      <c r="M19" s="9"/>
      <c r="N19" s="9"/>
      <c r="O19" s="9"/>
      <c r="P19" s="9"/>
      <c r="Q19" s="9"/>
    </row>
    <row r="20" spans="1:17" x14ac:dyDescent="0.25">
      <c r="A20" s="19"/>
      <c r="B20" s="9" t="s">
        <v>263</v>
      </c>
      <c r="C20" s="9" t="s">
        <v>243</v>
      </c>
      <c r="D20" s="9">
        <v>296</v>
      </c>
      <c r="E20" s="9">
        <f t="shared" si="0"/>
        <v>0</v>
      </c>
      <c r="F20" s="9">
        <v>-296</v>
      </c>
      <c r="G20" s="9"/>
      <c r="H20" s="9"/>
      <c r="I20" s="9"/>
      <c r="J20" s="63"/>
      <c r="K20" s="9"/>
      <c r="L20" s="9"/>
      <c r="M20" s="9"/>
      <c r="N20" s="9"/>
      <c r="O20" s="9"/>
      <c r="P20" s="9"/>
      <c r="Q20" s="9"/>
    </row>
    <row r="21" spans="1:17" ht="15.75" customHeight="1" x14ac:dyDescent="0.25">
      <c r="A21" s="19" t="s">
        <v>181</v>
      </c>
      <c r="B21" s="9" t="s">
        <v>14</v>
      </c>
      <c r="C21" s="9" t="s">
        <v>181</v>
      </c>
      <c r="D21" s="9">
        <v>50</v>
      </c>
      <c r="E21" s="9">
        <f t="shared" si="0"/>
        <v>0</v>
      </c>
      <c r="F21" s="9">
        <v>-50</v>
      </c>
      <c r="G21" s="9"/>
      <c r="H21" s="9"/>
      <c r="I21" s="9"/>
      <c r="J21" s="63"/>
      <c r="K21" s="9"/>
      <c r="L21" s="9"/>
      <c r="M21" s="9"/>
      <c r="N21" s="9"/>
      <c r="O21" s="9"/>
      <c r="P21" s="9"/>
      <c r="Q21" s="9"/>
    </row>
    <row r="22" spans="1:17" ht="15.75" customHeight="1" x14ac:dyDescent="0.25">
      <c r="A22" s="19"/>
      <c r="B22" s="9" t="s">
        <v>263</v>
      </c>
      <c r="C22" s="9" t="s">
        <v>179</v>
      </c>
      <c r="D22" s="9">
        <v>128</v>
      </c>
      <c r="E22" s="9">
        <f t="shared" si="0"/>
        <v>0</v>
      </c>
      <c r="F22" s="9">
        <v>-128</v>
      </c>
      <c r="G22" s="9"/>
      <c r="H22" s="9"/>
      <c r="I22" s="9"/>
      <c r="J22" s="63"/>
      <c r="K22" s="9"/>
      <c r="L22" s="9"/>
      <c r="M22" s="9"/>
      <c r="N22" s="9"/>
      <c r="O22" s="9"/>
      <c r="P22" s="9"/>
      <c r="Q22" s="9"/>
    </row>
    <row r="23" spans="1:17" ht="15.75" customHeight="1" x14ac:dyDescent="0.25">
      <c r="A23" s="19"/>
      <c r="B23" s="9" t="s">
        <v>263</v>
      </c>
      <c r="C23" s="9" t="s">
        <v>182</v>
      </c>
      <c r="D23" s="9">
        <v>44</v>
      </c>
      <c r="E23" s="9">
        <f t="shared" si="0"/>
        <v>0</v>
      </c>
      <c r="F23" s="9">
        <v>-44</v>
      </c>
      <c r="G23" s="9"/>
      <c r="H23" s="9"/>
      <c r="I23" s="9"/>
      <c r="J23" s="63"/>
      <c r="K23" s="9"/>
      <c r="L23" s="9"/>
      <c r="M23" s="9"/>
      <c r="N23" s="9"/>
      <c r="O23" s="9"/>
      <c r="P23" s="9"/>
      <c r="Q23" s="9"/>
    </row>
    <row r="24" spans="1:17" ht="15.75" customHeight="1" x14ac:dyDescent="0.25">
      <c r="A24" s="19"/>
      <c r="B24" s="9" t="s">
        <v>263</v>
      </c>
      <c r="C24" s="9" t="s">
        <v>278</v>
      </c>
      <c r="D24" s="9">
        <v>100</v>
      </c>
      <c r="E24" s="9">
        <f t="shared" si="0"/>
        <v>0</v>
      </c>
      <c r="F24" s="9">
        <v>-100</v>
      </c>
      <c r="G24" s="9"/>
      <c r="H24" s="64"/>
      <c r="I24" s="64"/>
      <c r="J24" s="65"/>
      <c r="K24" s="9"/>
      <c r="L24" s="9"/>
      <c r="M24" s="9"/>
      <c r="N24" s="9"/>
      <c r="O24" s="9"/>
      <c r="P24" s="9"/>
      <c r="Q24" s="9"/>
    </row>
    <row r="25" spans="1:17" ht="15.75" customHeight="1" x14ac:dyDescent="0.25">
      <c r="A25" s="93" t="s">
        <v>187</v>
      </c>
      <c r="B25" s="77"/>
      <c r="C25" s="77"/>
      <c r="D25" s="77" t="s">
        <v>255</v>
      </c>
      <c r="E25" s="77" t="s">
        <v>363</v>
      </c>
      <c r="F25" s="77" t="s">
        <v>364</v>
      </c>
      <c r="G25" s="94" t="s">
        <v>365</v>
      </c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ht="15.75" customHeight="1" x14ac:dyDescent="0.25">
      <c r="A26" s="70"/>
      <c r="B26" s="9" t="s">
        <v>263</v>
      </c>
      <c r="C26" s="9" t="s">
        <v>189</v>
      </c>
      <c r="D26" s="9">
        <v>100</v>
      </c>
      <c r="E26" s="9"/>
      <c r="F26" s="9"/>
      <c r="G26" s="71">
        <v>100</v>
      </c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ht="15.75" customHeight="1" x14ac:dyDescent="0.25">
      <c r="A27" s="19"/>
      <c r="B27" s="9" t="s">
        <v>263</v>
      </c>
      <c r="C27" s="9" t="s">
        <v>186</v>
      </c>
      <c r="D27" s="9">
        <v>100</v>
      </c>
      <c r="E27" s="9"/>
      <c r="F27" s="9"/>
      <c r="G27" s="71">
        <v>300</v>
      </c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ht="15.75" customHeight="1" x14ac:dyDescent="0.25">
      <c r="A28" s="70"/>
      <c r="B28" s="9" t="s">
        <v>263</v>
      </c>
      <c r="C28" s="9" t="s">
        <v>192</v>
      </c>
      <c r="D28" s="9">
        <v>300</v>
      </c>
      <c r="E28" s="9"/>
      <c r="F28" s="9"/>
      <c r="G28" s="71">
        <v>270</v>
      </c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ht="15.75" customHeight="1" x14ac:dyDescent="0.25">
      <c r="A29" s="70"/>
      <c r="B29" s="9" t="s">
        <v>263</v>
      </c>
      <c r="C29" s="9" t="s">
        <v>374</v>
      </c>
      <c r="D29" s="9">
        <v>300</v>
      </c>
      <c r="E29" s="9"/>
      <c r="F29" s="9"/>
      <c r="G29" s="71">
        <v>2100</v>
      </c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ht="15.75" customHeight="1" x14ac:dyDescent="0.25">
      <c r="A30" s="70"/>
      <c r="B30" s="9" t="s">
        <v>263</v>
      </c>
      <c r="C30" s="9" t="s">
        <v>280</v>
      </c>
      <c r="D30" s="9">
        <v>100</v>
      </c>
      <c r="E30" s="9"/>
      <c r="F30" s="9"/>
      <c r="G30" s="71">
        <v>300</v>
      </c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ht="15.75" customHeight="1" x14ac:dyDescent="0.25">
      <c r="A31" s="70" t="s">
        <v>276</v>
      </c>
      <c r="B31" s="9" t="s">
        <v>14</v>
      </c>
      <c r="C31" s="9" t="s">
        <v>361</v>
      </c>
      <c r="D31" s="9">
        <v>100</v>
      </c>
      <c r="E31" s="9" t="s">
        <v>281</v>
      </c>
      <c r="F31" s="9" t="s">
        <v>281</v>
      </c>
      <c r="G31" s="71" t="s">
        <v>281</v>
      </c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25">
      <c r="A32" s="70" t="s">
        <v>276</v>
      </c>
      <c r="B32" s="9" t="s">
        <v>14</v>
      </c>
      <c r="C32" s="9" t="s">
        <v>247</v>
      </c>
      <c r="D32" s="9">
        <v>600</v>
      </c>
      <c r="E32" s="9" t="s">
        <v>281</v>
      </c>
      <c r="F32" s="9">
        <v>13.12</v>
      </c>
      <c r="G32" s="71">
        <v>8000</v>
      </c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ht="15.75" customHeight="1" x14ac:dyDescent="0.25">
      <c r="A33" s="70"/>
      <c r="B33" s="9" t="s">
        <v>263</v>
      </c>
      <c r="C33" s="9" t="s">
        <v>61</v>
      </c>
      <c r="D33" s="9">
        <v>300</v>
      </c>
      <c r="E33" s="9"/>
      <c r="F33" s="9"/>
      <c r="G33" s="71">
        <v>1237</v>
      </c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ht="15.75" customHeight="1" x14ac:dyDescent="0.25">
      <c r="A34" s="72" t="s">
        <v>267</v>
      </c>
      <c r="B34" s="73" t="s">
        <v>14</v>
      </c>
      <c r="C34" s="73" t="s">
        <v>282</v>
      </c>
      <c r="D34" s="73">
        <v>200</v>
      </c>
      <c r="E34" s="73" t="s">
        <v>281</v>
      </c>
      <c r="F34" s="73">
        <v>13.12</v>
      </c>
      <c r="G34" s="74">
        <v>280</v>
      </c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ht="15.75" customHeight="1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ht="15.75" customHeight="1" x14ac:dyDescent="0.25"/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32</vt:i4>
      </vt:variant>
    </vt:vector>
  </HeadingPairs>
  <TitlesOfParts>
    <vt:vector size="32" baseType="lpstr">
      <vt:lpstr>Maj26 - wydatki</vt:lpstr>
      <vt:lpstr>Kwiecień26 - wydatki</vt:lpstr>
      <vt:lpstr>Marzec26 - wydatki</vt:lpstr>
      <vt:lpstr>Luty26 - wydatki</vt:lpstr>
      <vt:lpstr>Styczeń26 - wydatki</vt:lpstr>
      <vt:lpstr>Grudzień25- wydatki</vt:lpstr>
      <vt:lpstr>Listopad25- wydatki</vt:lpstr>
      <vt:lpstr>Październik25- wydatki</vt:lpstr>
      <vt:lpstr>Wrzesień25- wydatki</vt:lpstr>
      <vt:lpstr>Sierpień25 - wydatki</vt:lpstr>
      <vt:lpstr>Lipiec25 - wydatki</vt:lpstr>
      <vt:lpstr>Kwiecień25 - wydatki </vt:lpstr>
      <vt:lpstr>Czerwiec25 - wydatki</vt:lpstr>
      <vt:lpstr>Maj25 - wydatki</vt:lpstr>
      <vt:lpstr>Marzec25 - wydatki</vt:lpstr>
      <vt:lpstr>Luty25 - wydatki</vt:lpstr>
      <vt:lpstr>Styczeń25 - wydatki</vt:lpstr>
      <vt:lpstr>Grudzień24 - wydatki</vt:lpstr>
      <vt:lpstr>Szablon</vt:lpstr>
      <vt:lpstr>Listopad - wydatki</vt:lpstr>
      <vt:lpstr>Październik - wydatki</vt:lpstr>
      <vt:lpstr>Wrzesień - wydatki</vt:lpstr>
      <vt:lpstr>Sierpień - wydatki</vt:lpstr>
      <vt:lpstr>Lipiec - wydatki</vt:lpstr>
      <vt:lpstr>Czerwiec - wydatki </vt:lpstr>
      <vt:lpstr>Maj - wydatki</vt:lpstr>
      <vt:lpstr>Kwiecień - wydatki</vt:lpstr>
      <vt:lpstr>Jedzenie</vt:lpstr>
      <vt:lpstr>Marzec - wydatki</vt:lpstr>
      <vt:lpstr>Luty - wydatki</vt:lpstr>
      <vt:lpstr>Styczeń - wydatki</vt:lpstr>
      <vt:lpstr>Grudzień - wydatki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Maczalowski</dc:creator>
  <cp:lastModifiedBy>Damian Maczalowski</cp:lastModifiedBy>
  <dcterms:created xsi:type="dcterms:W3CDTF">2023-11-18T12:43:25Z</dcterms:created>
  <dcterms:modified xsi:type="dcterms:W3CDTF">2026-05-09T22:09:09Z</dcterms:modified>
</cp:coreProperties>
</file>